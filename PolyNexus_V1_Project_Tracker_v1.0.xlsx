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613b43be8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Checklist" sheetId="1" r:id="R7ecb7331a16045b3"/>
    <x:sheet xmlns:r="http://schemas.openxmlformats.org/officeDocument/2006/relationships" name="Dashboard" sheetId="2" r:id="R204a3f09a3194490"/>
    <x:sheet xmlns:r="http://schemas.openxmlformats.org/officeDocument/2006/relationships" name="Milestones" sheetId="3" r:id="Re4d621e0c6b845a3"/>
    <x:sheet xmlns:r="http://schemas.openxmlformats.org/officeDocument/2006/relationships" name="Competition" sheetId="4" r:id="R4756f80578704391"/>
    <x:sheet xmlns:r="http://schemas.openxmlformats.org/officeDocument/2006/relationships" name="Risks" sheetId="5" r:id="R409b793d9df94a38"/>
    <x:sheet xmlns:r="http://schemas.openxmlformats.org/officeDocument/2006/relationships" name="ToolAllocation" sheetId="6" r:id="Rc4004580b4b349b2"/>
    <x:sheet xmlns:r="http://schemas.openxmlformats.org/officeDocument/2006/relationships" name="Sources" sheetId="7" r:id="Rc4e71adf813e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7030A0"/>
      </x:patternFill>
    </x:fill>
    <x:fill>
      <x:patternFill patternType="solid">
        <x:fgColor rgb="FFC00000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6760844814fd7" /><Relationship Type="http://schemas.openxmlformats.org/officeDocument/2006/relationships/theme" Target="/xl/theme/theme1.xml" Id="Rb2191461c296454f" /><Relationship Type="http://schemas.openxmlformats.org/officeDocument/2006/relationships/sharedStrings" Target="/xl/sharedStrings.xml" Id="R1d06377078a941dd" /><Relationship Type="http://schemas.openxmlformats.org/officeDocument/2006/relationships/worksheet" Target="/xl/worksheets/sheet1.xml" Id="R7ecb7331a16045b3" /><Relationship Type="http://schemas.openxmlformats.org/officeDocument/2006/relationships/worksheet" Target="/xl/worksheets/sheet2.xml" Id="R204a3f09a3194490" /><Relationship Type="http://schemas.openxmlformats.org/officeDocument/2006/relationships/worksheet" Target="/xl/worksheets/sheet3.xml" Id="Re4d621e0c6b845a3" /><Relationship Type="http://schemas.openxmlformats.org/officeDocument/2006/relationships/worksheet" Target="/xl/worksheets/sheet4.xml" Id="R4756f80578704391" /><Relationship Type="http://schemas.openxmlformats.org/officeDocument/2006/relationships/worksheet" Target="/xl/worksheets/sheet5.xml" Id="R409b793d9df94a38" /><Relationship Type="http://schemas.openxmlformats.org/officeDocument/2006/relationships/worksheet" Target="/xl/worksheets/sheet6.xml" Id="Rc4004580b4b349b2" /><Relationship Type="http://schemas.openxmlformats.org/officeDocument/2006/relationships/worksheet" Target="/xl/worksheets/sheet7.xml" Id="Rc4e71adf813e47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0" hidden="0" customWidth="1"/>
    <x:col min="4" max="4" width="15" hidden="0" customWidth="1"/>
    <x:col min="5" max="5" width="13" hidden="0" customWidth="1"/>
    <x:col min="6" max="6" width="15" hidden="0" customWidth="1"/>
    <x:col min="7" max="7" width="11" hidden="0" customWidth="1"/>
    <x:col min="8" max="8" width="42" hidden="0" customWidth="1"/>
    <x:col min="9" max="9" width="28" hidden="0" customWidth="1"/>
  </x:cols>
  <x:sheetData>
    <x:row r="1">
      <x:c r="A1" s="10" t="str">
        <x:v>Phase</x:v>
      </x:c>
      <x:c r="B1" s="10" t="str">
        <x:v>Task</x:v>
      </x:c>
      <x:c r="C1" s="10" t="str">
        <x:v>Priority</x:v>
      </x:c>
      <x:c r="D1" s="10" t="str">
        <x:v>Owner Tool</x:v>
      </x:c>
      <x:c r="E1" s="10" t="str">
        <x:v>Due</x:v>
      </x:c>
      <x:c r="F1" s="10" t="str">
        <x:v>Status</x:v>
      </x:c>
      <x:c r="G1" s="10" t="str">
        <x:v>Progress</x:v>
      </x:c>
      <x:c r="H1" s="10" t="str">
        <x:v>Acceptance / Evidence</x:v>
      </x:c>
      <x:c r="I1" s="10" t="str">
        <x:v>Notes</x:v>
      </x:c>
    </x:row>
    <x:row r="2">
      <x:c r="A2" s="11" t="str">
        <x:v>P0 Scope / Competition</x:v>
      </x:c>
      <x:c r="B2" s="11" t="str">
        <x:v>Review Scope Baseline D01–D10</x:v>
      </x:c>
      <x:c r="C2" s="11" t="str">
        <x:v>P0</x:v>
      </x:c>
      <x:c r="D2" s="11" t="str">
        <x:v>Human</x:v>
      </x:c>
      <x:c r="E2" s="12" t="n">
        <x:v>46254</x:v>
      </x:c>
      <x:c r="F2" s="11" t="str">
        <x:v>Done</x:v>
      </x:c>
      <x:c r="G2" s="13" t="n">
        <x:f>IF(F2="Done",1,IF(F2="Review",0.9,IF(F2="In Progress",0.5,IF(F2="Blocked",0.25,0))))</x:f>
        <x:v>1</x:v>
      </x:c>
      <x:c r="H2" s="11" t="str">
        <x:v>Human approval + decision log</x:v>
      </x:c>
      <x:c r="I2" s="11" t="str">
        <x:v>D01–D10 confirmed; Development Baseline v1.0 generated</x:v>
      </x:c>
    </x:row>
    <x:row r="3">
      <x:c r="A3" s="11" t="str">
        <x:v>P0 Scope / Competition</x:v>
      </x:c>
      <x:c r="B3" s="11" t="str">
        <x:v>Review PRD v0.1</x:v>
      </x:c>
      <x:c r="C3" s="11" t="str">
        <x:v>P0</x:v>
      </x:c>
      <x:c r="D3" s="11" t="str">
        <x:v>Human</x:v>
      </x:c>
      <x:c r="E3" s="12" t="n">
        <x:v>46255</x:v>
      </x:c>
      <x:c r="F3" s="11" t="str">
        <x:v>Review</x:v>
      </x:c>
      <x:c r="G3" s="13" t="n">
        <x:f>IF(F3="Done",1,IF(F3="Review",0.9,IF(F3="In Progress",0.5,IF(F3="Blocked",0.25,0))))</x:f>
        <x:v>0.9</x:v>
      </x:c>
      <x:c r="H3" s="11" t="str">
        <x:v>PRD comments resolved</x:v>
      </x:c>
      <x:c r="I3" s="11" t="str">
        <x:v>PRD promoted to v1.0 baseline; human document review still recommended</x:v>
      </x:c>
    </x:row>
    <x:row r="4">
      <x:c r="A4" s="11" t="str">
        <x:v>P0 Scope / Competition</x:v>
      </x:c>
      <x:c r="B4" s="11" t="str">
        <x:v>Review SA/SD Development Baseline v1.0</x:v>
      </x:c>
      <x:c r="C4" s="11" t="str">
        <x:v>P0</x:v>
      </x:c>
      <x:c r="D4" s="11" t="str">
        <x:v>Codex</x:v>
      </x:c>
      <x:c r="E4" s="12" t="n">
        <x:v>46256</x:v>
      </x:c>
      <x:c r="F4" s="11" t="str">
        <x:v>Review</x:v>
      </x:c>
      <x:c r="G4" s="13" t="n">
        <x:f>IF(F4="Done",1,IF(F4="Review",0.9,IF(F4="In Progress",0.5,IF(F4="Blocked",0.25,0))))</x:f>
        <x:v>0.9</x:v>
      </x:c>
      <x:c r="H4" s="11" t="str">
        <x:v>Architecture review; no blocker</x:v>
      </x:c>
      <x:c r="I4" s="11" t="str">
        <x:v>SA/SD promoted to v1.0 after ADR-001–010 confirmation</x:v>
      </x:c>
    </x:row>
    <x:row r="5">
      <x:c r="A5" s="11" t="str">
        <x:v>P0 Scope / Competition</x:v>
      </x:c>
      <x:c r="B5" s="11" t="str">
        <x:v>Freeze ADR-001–010 / stack decisions</x:v>
      </x:c>
      <x:c r="C5" s="11" t="str">
        <x:v>P0</x:v>
      </x:c>
      <x:c r="D5" s="11" t="str">
        <x:v>Codex</x:v>
      </x:c>
      <x:c r="E5" s="12" t="n">
        <x:v>46258</x:v>
      </x:c>
      <x:c r="F5" s="11" t="str">
        <x:v>Done</x:v>
      </x:c>
      <x:c r="G5" s="13" t="n">
        <x:f>IF(F5="Done",1,IF(F5="Review",0.9,IF(F5="In Progress",0.5,IF(F5="Blocked",0.25,0))))</x:f>
        <x:v>1</x:v>
      </x:c>
      <x:c r="H5" s="11" t="str">
        <x:v>ADR-001–006 approved</x:v>
      </x:c>
      <x:c r="I5" s="11" t="str">
        <x:v>ADR-001–010 frozen in docs/18_ARCHITECTURE_DECISIONS.md</x:v>
      </x:c>
    </x:row>
    <x:row r="6">
      <x:c r="A6" s="11" t="str">
        <x:v>P0 Scope / Competition</x:v>
      </x:c>
      <x:c r="B6" s="11" t="str">
        <x:v>Competition proposal v1</x:v>
      </x:c>
      <x:c r="C6" s="11" t="str">
        <x:v>P0</x:v>
      </x:c>
      <x:c r="D6" s="11" t="str">
        <x:v>Human</x:v>
      </x:c>
      <x:c r="E6" s="12" t="n">
        <x:v>46259</x:v>
      </x:c>
      <x:c r="F6" s="11" t="str">
        <x:v>In Progress</x:v>
      </x:c>
      <x:c r="G6" s="13" t="n">
        <x:f>IF(F6="Done",1,IF(F6="Review",0.9,IF(F6="In Progress",0.5,IF(F6="Blocked",0.25,0))))</x:f>
        <x:v>0.5</x:v>
      </x:c>
      <x:c r="H6" s="11" t="str">
        <x:v>Internal review ready</x:v>
      </x:c>
      <x:c r="I6" s="11" t="str"/>
    </x:row>
    <x:row r="7">
      <x:c r="A7" s="11" t="str">
        <x:v>P0 Scope / Competition</x:v>
      </x:c>
      <x:c r="B7" s="11" t="str">
        <x:v>AI Use Case deck content v1</x:v>
      </x:c>
      <x:c r="C7" s="11" t="str">
        <x:v>P0</x:v>
      </x:c>
      <x:c r="D7" s="11" t="str">
        <x:v>Human</x:v>
      </x:c>
      <x:c r="E7" s="12" t="n">
        <x:v>46259</x:v>
      </x:c>
      <x:c r="F7" s="11" t="str">
        <x:v>In Progress</x:v>
      </x:c>
      <x:c r="G7" s="13" t="n">
        <x:f>IF(F7="Done",1,IF(F7="Review",0.9,IF(F7="In Progress",0.5,IF(F7="Blocked",0.25,0))))</x:f>
        <x:v>0.5</x:v>
      </x:c>
      <x:c r="H7" s="11" t="str">
        <x:v>20 slides max; scoring mapping</x:v>
      </x:c>
      <x:c r="I7" s="11" t="str"/>
    </x:row>
    <x:row r="8">
      <x:c r="A8" s="11" t="str">
        <x:v>P0 Scope / Competition</x:v>
      </x:c>
      <x:c r="B8" s="11" t="str">
        <x:v>Verify official upload form fields / demo requirement</x:v>
      </x:c>
      <x:c r="C8" s="11" t="str">
        <x:v>P0</x:v>
      </x:c>
      <x:c r="D8" s="11" t="str">
        <x:v>Human</x:v>
      </x:c>
      <x:c r="E8" s="12" t="n">
        <x:v>46266</x:v>
      </x:c>
      <x:c r="F8" s="11" t="str">
        <x:v>Not Started</x:v>
      </x:c>
      <x:c r="G8" s="13" t="n">
        <x:f>IF(F8="Done",1,IF(F8="Review",0.9,IF(F8="In Progress",0.5,IF(F8="Blocked",0.25,0))))</x:f>
        <x:v>0</x:v>
      </x:c>
      <x:c r="H8" s="11" t="str">
        <x:v>Capture exact required fields</x:v>
      </x:c>
      <x:c r="I8" s="11" t="str"/>
    </x:row>
    <x:row r="9">
      <x:c r="A9" s="11" t="str">
        <x:v>P0 Scope / Competition</x:v>
      </x:c>
      <x:c r="B9" s="11" t="str">
        <x:v>Final proposal + deck QA</x:v>
      </x:c>
      <x:c r="C9" s="11" t="str">
        <x:v>P0</x:v>
      </x:c>
      <x:c r="D9" s="11" t="str">
        <x:v>Shared</x:v>
      </x:c>
      <x:c r="E9" s="12" t="n">
        <x:v>46270</x:v>
      </x:c>
      <x:c r="F9" s="11" t="str">
        <x:v>Not Started</x:v>
      </x:c>
      <x:c r="G9" s="13" t="n">
        <x:f>IF(F9="Done",1,IF(F9="Review",0.9,IF(F9="In Progress",0.5,IF(F9="Blocked",0.25,0))))</x:f>
        <x:v>0</x:v>
      </x:c>
      <x:c r="H9" s="11" t="str">
        <x:v>Page count, naming, no customer data</x:v>
      </x:c>
      <x:c r="I9" s="11" t="str"/>
    </x:row>
    <x:row r="10">
      <x:c r="A10" s="11" t="str">
        <x:v>P0 Scope / Competition</x:v>
      </x:c>
      <x:c r="B10" s="11" t="str">
        <x:v>Upload rehearsal</x:v>
      </x:c>
      <x:c r="C10" s="11" t="str">
        <x:v>P0</x:v>
      </x:c>
      <x:c r="D10" s="11" t="str">
        <x:v>Human</x:v>
      </x:c>
      <x:c r="E10" s="12" t="n">
        <x:v>46271</x:v>
      </x:c>
      <x:c r="F10" s="11" t="str">
        <x:v>Not Started</x:v>
      </x:c>
      <x:c r="G10" s="13" t="n">
        <x:f>IF(F10="Done",1,IF(F10="Review",0.9,IF(F10="In Progress",0.5,IF(F10="Blocked",0.25,0))))</x:f>
        <x:v>0</x:v>
      </x:c>
      <x:c r="H10" s="11" t="str">
        <x:v>Files accepted by form</x:v>
      </x:c>
      <x:c r="I10" s="11" t="str"/>
    </x:row>
    <x:row r="11">
      <x:c r="A11" s="11" t="str">
        <x:v>P0 Scope / Competition</x:v>
      </x:c>
      <x:c r="B11" s="11" t="str">
        <x:v>Submit initial-review files</x:v>
      </x:c>
      <x:c r="C11" s="11" t="str">
        <x:v>P0</x:v>
      </x:c>
      <x:c r="D11" s="11" t="str">
        <x:v>Human</x:v>
      </x:c>
      <x:c r="E11" s="12" t="n">
        <x:v>46272</x:v>
      </x:c>
      <x:c r="F11" s="11" t="str">
        <x:v>Not Started</x:v>
      </x:c>
      <x:c r="G11" s="13" t="n">
        <x:f>IF(F11="Done",1,IF(F11="Review",0.9,IF(F11="In Progress",0.5,IF(F11="Blocked",0.25,0))))</x:f>
        <x:v>0</x:v>
      </x:c>
      <x:c r="H11" s="11" t="str">
        <x:v>Submission confirmation</x:v>
      </x:c>
      <x:c r="I11" s="11" t="str"/>
    </x:row>
    <x:row r="12">
      <x:c r="A12" s="11" t="str">
        <x:v>P1 First Vertical Slice</x:v>
      </x:c>
      <x:c r="B12" s="11" t="str">
        <x:v>Git repo bootstrap + initial checkpoint</x:v>
      </x:c>
      <x:c r="C12" s="11" t="str">
        <x:v>P0</x:v>
      </x:c>
      <x:c r="D12" s="11" t="str">
        <x:v>Human</x:v>
      </x:c>
      <x:c r="E12" s="12" t="n">
        <x:v>46260</x:v>
      </x:c>
      <x:c r="F12" s="11" t="str">
        <x:v>Review</x:v>
      </x:c>
      <x:c r="G12" s="13" t="n">
        <x:f>IF(F12="Done",1,IF(F12="Review",0.9,IF(F12="In Progress",0.5,IF(F12="Blocked",0.25,0))))</x:f>
        <x:v>0.9</x:v>
      </x:c>
      <x:c r="H12" s="11" t="str">
        <x:v>Generated repo/bundle exists; target Windows git status + preflight must pass</x:v>
      </x:c>
      <x:c r="I12" s="11" t="str">
        <x:v>Generated Git-ready repo + bundle; target Windows clone/bootstrap still to verify</x:v>
      </x:c>
    </x:row>
    <x:row r="13">
      <x:c r="A13" s="11" t="str">
        <x:v>P1 First Vertical Slice</x:v>
      </x:c>
      <x:c r="B13" s="11" t="str">
        <x:v>Shared skills/rules discovery check in 3 tools</x:v>
      </x:c>
      <x:c r="C13" s="11" t="str">
        <x:v>P0</x:v>
      </x:c>
      <x:c r="D13" s="11" t="str">
        <x:v>Shared</x:v>
      </x:c>
      <x:c r="E13" s="12" t="n">
        <x:v>46261</x:v>
      </x:c>
      <x:c r="F13" s="11" t="str">
        <x:v>Not Started</x:v>
      </x:c>
      <x:c r="G13" s="13" t="n">
        <x:f>IF(F13="Done",1,IF(F13="Review",0.9,IF(F13="In Progress",0.5,IF(F13="Blocked",0.25,0))))</x:f>
        <x:v>0</x:v>
      </x:c>
      <x:c r="H13" s="11" t="str">
        <x:v>All three tools see repo skills</x:v>
      </x:c>
      <x:c r="I13" s="11" t="str"/>
    </x:row>
    <x:row r="14">
      <x:c r="A14" s="11" t="str">
        <x:v>P1 First Vertical Slice</x:v>
      </x:c>
      <x:c r="B14" s="11" t="str">
        <x:v>Domain entities + repository interfaces</x:v>
      </x:c>
      <x:c r="C14" s="11" t="str">
        <x:v>P0</x:v>
      </x:c>
      <x:c r="D14" s="11" t="str">
        <x:v>Codex</x:v>
      </x:c>
      <x:c r="E14" s="12" t="n">
        <x:v>46264</x:v>
      </x:c>
      <x:c r="F14" s="11" t="str">
        <x:v>Not Started</x:v>
      </x:c>
      <x:c r="G14" s="13" t="n">
        <x:f>IF(F14="Done",1,IF(F14="Review",0.9,IF(F14="In Progress",0.5,IF(F14="Blocked",0.25,0))))</x:f>
        <x:v>0</x:v>
      </x:c>
      <x:c r="H14" s="11" t="str">
        <x:v>Unit tests + architecture review</x:v>
      </x:c>
      <x:c r="I14" s="11" t="str"/>
    </x:row>
    <x:row r="15">
      <x:c r="A15" s="11" t="str">
        <x:v>P1 First Vertical Slice</x:v>
      </x:c>
      <x:c r="B15" s="11" t="str">
        <x:v>SQLite metadata + migration skeleton</x:v>
      </x:c>
      <x:c r="C15" s="11" t="str">
        <x:v>P0</x:v>
      </x:c>
      <x:c r="D15" s="11" t="str">
        <x:v>OpenCode</x:v>
      </x:c>
      <x:c r="E15" s="12" t="n">
        <x:v>46266</x:v>
      </x:c>
      <x:c r="F15" s="11" t="str">
        <x:v>Not Started</x:v>
      </x:c>
      <x:c r="G15" s="13" t="n">
        <x:f>IF(F15="Done",1,IF(F15="Review",0.9,IF(F15="In Progress",0.5,IF(F15="Blocked",0.25,0))))</x:f>
        <x:v>0</x:v>
      </x:c>
      <x:c r="H15" s="11" t="str">
        <x:v>Migration smoke test</x:v>
      </x:c>
      <x:c r="I15" s="11" t="str"/>
    </x:row>
    <x:row r="16">
      <x:c r="A16" s="11" t="str">
        <x:v>P1 First Vertical Slice</x:v>
      </x:c>
      <x:c r="B16" s="11" t="str">
        <x:v>Event ledger + run states</x:v>
      </x:c>
      <x:c r="C16" s="11" t="str">
        <x:v>P0</x:v>
      </x:c>
      <x:c r="D16" s="11" t="str">
        <x:v>Codex</x:v>
      </x:c>
      <x:c r="E16" s="12" t="n">
        <x:v>46267</x:v>
      </x:c>
      <x:c r="F16" s="11" t="str">
        <x:v>Not Started</x:v>
      </x:c>
      <x:c r="G16" s="13" t="n">
        <x:f>IF(F16="Done",1,IF(F16="Review",0.9,IF(F16="In Progress",0.5,IF(F16="Blocked",0.25,0))))</x:f>
        <x:v>0</x:v>
      </x:c>
      <x:c r="H16" s="11" t="str">
        <x:v>State transition tests</x:v>
      </x:c>
      <x:c r="I16" s="11" t="str"/>
    </x:row>
    <x:row r="17">
      <x:c r="A17" s="11" t="str">
        <x:v>P1 First Vertical Slice</x:v>
      </x:c>
      <x:c r="B17" s="11" t="str">
        <x:v>Artifact/context/evidence baseline</x:v>
      </x:c>
      <x:c r="C17" s="11" t="str">
        <x:v>P0</x:v>
      </x:c>
      <x:c r="D17" s="11" t="str">
        <x:v>Codex</x:v>
      </x:c>
      <x:c r="E17" s="12" t="n">
        <x:v>46268</x:v>
      </x:c>
      <x:c r="F17" s="11" t="str">
        <x:v>Not Started</x:v>
      </x:c>
      <x:c r="G17" s="13" t="n">
        <x:f>IF(F17="Done",1,IF(F17="Review",0.9,IF(F17="In Progress",0.5,IF(F17="Blocked",0.25,0))))</x:f>
        <x:v>0</x:v>
      </x:c>
      <x:c r="H17" s="11" t="str">
        <x:v>Round-trip persistence tests</x:v>
      </x:c>
      <x:c r="I17" s="11" t="str"/>
    </x:row>
    <x:row r="18">
      <x:c r="A18" s="11" t="str">
        <x:v>P1 First Vertical Slice</x:v>
      </x:c>
      <x:c r="B18" s="11" t="str">
        <x:v>Extension registry + manifest skeleton</x:v>
      </x:c>
      <x:c r="C18" s="11" t="str">
        <x:v>P1</x:v>
      </x:c>
      <x:c r="D18" s="11" t="str">
        <x:v>OpenCode</x:v>
      </x:c>
      <x:c r="E18" s="12" t="n">
        <x:v>46269</x:v>
      </x:c>
      <x:c r="F18" s="11" t="str">
        <x:v>Not Started</x:v>
      </x:c>
      <x:c r="G18" s="13" t="n">
        <x:f>IF(F18="Done",1,IF(F18="Review",0.9,IF(F18="In Progress",0.5,IF(F18="Blocked",0.25,0))))</x:f>
        <x:v>0</x:v>
      </x:c>
      <x:c r="H18" s="11" t="str">
        <x:v>Registry tests</x:v>
      </x:c>
      <x:c r="I18" s="11" t="str"/>
    </x:row>
    <x:row r="19">
      <x:c r="A19" s="11" t="str">
        <x:v>P1 First Vertical Slice</x:v>
      </x:c>
      <x:c r="B19" s="11" t="str">
        <x:v>Minimal workflow runner</x:v>
      </x:c>
      <x:c r="C19" s="11" t="str">
        <x:v>P0</x:v>
      </x:c>
      <x:c r="D19" s="11" t="str">
        <x:v>Codex</x:v>
      </x:c>
      <x:c r="E19" s="12" t="n">
        <x:v>46270</x:v>
      </x:c>
      <x:c r="F19" s="11" t="str">
        <x:v>Not Started</x:v>
      </x:c>
      <x:c r="G19" s="13" t="n">
        <x:f>IF(F19="Done",1,IF(F19="Review",0.9,IF(F19="In Progress",0.5,IF(F19="Blocked",0.25,0))))</x:f>
        <x:v>0</x:v>
      </x:c>
      <x:c r="H19" s="11" t="str">
        <x:v>Workflow unit/integration tests</x:v>
      </x:c>
      <x:c r="I19" s="11" t="str"/>
    </x:row>
    <x:row r="20">
      <x:c r="A20" s="11" t="str">
        <x:v>P1 First Vertical Slice</x:v>
      </x:c>
      <x:c r="B20" s="11" t="str">
        <x:v>One runtime adapter vertical slice</x:v>
      </x:c>
      <x:c r="C20" s="11" t="str">
        <x:v>P0</x:v>
      </x:c>
      <x:c r="D20" s="11" t="str">
        <x:v>OpenCode</x:v>
      </x:c>
      <x:c r="E20" s="12" t="n">
        <x:v>46271</x:v>
      </x:c>
      <x:c r="F20" s="11" t="str">
        <x:v>Not Started</x:v>
      </x:c>
      <x:c r="G20" s="13" t="n">
        <x:f>IF(F20="Done",1,IF(F20="Review",0.9,IF(F20="In Progress",0.5,IF(F20="Blocked",0.25,0))))</x:f>
        <x:v>0</x:v>
      </x:c>
      <x:c r="H20" s="11" t="str">
        <x:v>Project→Review→Evidence E2E</x:v>
      </x:c>
      <x:c r="I20" s="11" t="str"/>
    </x:row>
    <x:row r="21">
      <x:c r="A21" s="11" t="str">
        <x:v>P2 Core Product</x:v>
      </x:c>
      <x:c r="B21" s="11" t="str">
        <x:v>Discuss workflow</x:v>
      </x:c>
      <x:c r="C21" s="11" t="str">
        <x:v>P0</x:v>
      </x:c>
      <x:c r="D21" s="11" t="str">
        <x:v>OpenCode</x:v>
      </x:c>
      <x:c r="E21" s="12" t="n">
        <x:v>46275</x:v>
      </x:c>
      <x:c r="F21" s="11" t="str">
        <x:v>Not Started</x:v>
      </x:c>
      <x:c r="G21" s="13" t="n">
        <x:f>IF(F21="Done",1,IF(F21="Review",0.9,IF(F21="In Progress",0.5,IF(F21="Blocked",0.25,0))))</x:f>
        <x:v>0</x:v>
      </x:c>
      <x:c r="H21" s="11" t="str">
        <x:v>Golden Discuss tests</x:v>
      </x:c>
      <x:c r="I21" s="11" t="str"/>
    </x:row>
    <x:row r="22">
      <x:c r="A22" s="11" t="str">
        <x:v>P2 Core Product</x:v>
      </x:c>
      <x:c r="B22" s="11" t="str">
        <x:v>Review workflow + findings/severity</x:v>
      </x:c>
      <x:c r="C22" s="11" t="str">
        <x:v>P0</x:v>
      </x:c>
      <x:c r="D22" s="11" t="str">
        <x:v>OpenCode</x:v>
      </x:c>
      <x:c r="E22" s="12" t="n">
        <x:v>46276</x:v>
      </x:c>
      <x:c r="F22" s="11" t="str">
        <x:v>Not Started</x:v>
      </x:c>
      <x:c r="G22" s="13" t="n">
        <x:f>IF(F22="Done",1,IF(F22="Review",0.9,IF(F22="In Progress",0.5,IF(F22="Blocked",0.25,0))))</x:f>
        <x:v>0</x:v>
      </x:c>
      <x:c r="H22" s="11" t="str">
        <x:v>Artifact review integration</x:v>
      </x:c>
      <x:c r="I22" s="11" t="str"/>
    </x:row>
    <x:row r="23">
      <x:c r="A23" s="11" t="str">
        <x:v>P2 Core Product</x:v>
      </x:c>
      <x:c r="B23" s="11" t="str">
        <x:v>Validate workflow + hard gates</x:v>
      </x:c>
      <x:c r="C23" s="11" t="str">
        <x:v>P0</x:v>
      </x:c>
      <x:c r="D23" s="11" t="str">
        <x:v>Codex</x:v>
      </x:c>
      <x:c r="E23" s="12" t="n">
        <x:v>46277</x:v>
      </x:c>
      <x:c r="F23" s="11" t="str">
        <x:v>Not Started</x:v>
      </x:c>
      <x:c r="G23" s="13" t="n">
        <x:f>IF(F23="Done",1,IF(F23="Review",0.9,IF(F23="In Progress",0.5,IF(F23="Blocked",0.25,0))))</x:f>
        <x:v>0</x:v>
      </x:c>
      <x:c r="H23" s="11" t="str">
        <x:v>Tool FAIL blocks Verified PASS</x:v>
      </x:c>
      <x:c r="I23" s="11" t="str"/>
    </x:row>
    <x:row r="24">
      <x:c r="A24" s="11" t="str">
        <x:v>P2 Core Product</x:v>
      </x:c>
      <x:c r="B24" s="11" t="str">
        <x:v>Council parallel analysis + cross review</x:v>
      </x:c>
      <x:c r="C24" s="11" t="str">
        <x:v>P0</x:v>
      </x:c>
      <x:c r="D24" s="11" t="str">
        <x:v>Codex</x:v>
      </x:c>
      <x:c r="E24" s="12" t="n">
        <x:v>46279</x:v>
      </x:c>
      <x:c r="F24" s="11" t="str">
        <x:v>Not Started</x:v>
      </x:c>
      <x:c r="G24" s="13" t="n">
        <x:f>IF(F24="Done",1,IF(F24="Review",0.9,IF(F24="In Progress",0.5,IF(F24="Blocked",0.25,0))))</x:f>
        <x:v>0</x:v>
      </x:c>
      <x:c r="H24" s="11" t="str">
        <x:v>Partial failure tests</x:v>
      </x:c>
      <x:c r="I24" s="11" t="str"/>
    </x:row>
    <x:row r="25">
      <x:c r="A25" s="11" t="str">
        <x:v>P2 Core Product</x:v>
      </x:c>
      <x:c r="B25" s="11" t="str">
        <x:v>Codex deep runtime adapter</x:v>
      </x:c>
      <x:c r="C25" s="11" t="str">
        <x:v>P0</x:v>
      </x:c>
      <x:c r="D25" s="11" t="str">
        <x:v>Codex</x:v>
      </x:c>
      <x:c r="E25" s="12" t="n">
        <x:v>46281</x:v>
      </x:c>
      <x:c r="F25" s="11" t="str">
        <x:v>Not Started</x:v>
      </x:c>
      <x:c r="G25" s="13" t="n">
        <x:f>IF(F25="Done",1,IF(F25="Review",0.9,IF(F25="In Progress",0.5,IF(F25="Blocked",0.25,0))))</x:f>
        <x:v>0</x:v>
      </x:c>
      <x:c r="H25" s="11" t="str">
        <x:v>Run/status/cancel/evidence/cleanup conformance</x:v>
      </x:c>
      <x:c r="I25" s="11" t="str"/>
    </x:row>
    <x:row r="26">
      <x:c r="A26" s="11" t="str">
        <x:v>P2 Core Product</x:v>
      </x:c>
      <x:c r="B26" s="11" t="str">
        <x:v>OpenCode deep runtime adapter</x:v>
      </x:c>
      <x:c r="C26" s="11" t="str">
        <x:v>P0</x:v>
      </x:c>
      <x:c r="D26" s="11" t="str">
        <x:v>OpenCode</x:v>
      </x:c>
      <x:c r="E26" s="12" t="n">
        <x:v>46282</x:v>
      </x:c>
      <x:c r="F26" s="11" t="str">
        <x:v>Not Started</x:v>
      </x:c>
      <x:c r="G26" s="13" t="n">
        <x:f>IF(F26="Done",1,IF(F26="Review",0.9,IF(F26="In Progress",0.5,IF(F26="Blocked",0.25,0))))</x:f>
        <x:v>0</x:v>
      </x:c>
      <x:c r="H26" s="11" t="str">
        <x:v>Run/status/cancel/evidence/cleanup conformance</x:v>
      </x:c>
      <x:c r="I26" s="11" t="str"/>
    </x:row>
    <x:row r="27">
      <x:c r="A27" s="11" t="str">
        <x:v>P2 Core Product</x:v>
      </x:c>
      <x:c r="B27" s="11" t="str">
        <x:v>Doctor + compatibility matrix</x:v>
      </x:c>
      <x:c r="C27" s="11" t="str">
        <x:v>P0</x:v>
      </x:c>
      <x:c r="D27" s="11" t="str">
        <x:v>OpenCode</x:v>
      </x:c>
      <x:c r="E27" s="12" t="n">
        <x:v>46283</x:v>
      </x:c>
      <x:c r="F27" s="11" t="str">
        <x:v>Not Started</x:v>
      </x:c>
      <x:c r="G27" s="13" t="n">
        <x:f>IF(F27="Done",1,IF(F27="Review",0.9,IF(F27="In Progress",0.5,IF(F27="Blocked",0.25,0))))</x:f>
        <x:v>0</x:v>
      </x:c>
      <x:c r="H27" s="11" t="str">
        <x:v>Version/maturity display</x:v>
      </x:c>
      <x:c r="I27" s="11" t="str"/>
    </x:row>
    <x:row r="28">
      <x:c r="A28" s="11" t="str">
        <x:v>P2 Core Product</x:v>
      </x:c>
      <x:c r="B28" s="11" t="str">
        <x:v>Core product milestone acceptance</x:v>
      </x:c>
      <x:c r="C28" s="11" t="str">
        <x:v>P0</x:v>
      </x:c>
      <x:c r="D28" s="11" t="str">
        <x:v>Antigravity</x:v>
      </x:c>
      <x:c r="E28" s="12" t="n">
        <x:v>46285</x:v>
      </x:c>
      <x:c r="F28" s="11" t="str">
        <x:v>Not Started</x:v>
      </x:c>
      <x:c r="G28" s="13" t="n">
        <x:f>IF(F28="Done",1,IF(F28="Review",0.9,IF(F28="In Progress",0.5,IF(F28="Blocked",0.25,0))))</x:f>
        <x:v>0</x:v>
      </x:c>
      <x:c r="H28" s="11" t="str">
        <x:v>Independent E2E + actual evidence</x:v>
      </x:c>
      <x:c r="I28" s="11" t="str"/>
    </x:row>
    <x:row r="29">
      <x:c r="A29" s="11" t="str">
        <x:v>P3 Web / Local / Policy</x:v>
      </x:c>
      <x:c r="B29" s="11" t="str">
        <x:v>LocalModelEndpoint contract</x:v>
      </x:c>
      <x:c r="C29" s="11" t="str">
        <x:v>P0</x:v>
      </x:c>
      <x:c r="D29" s="11" t="str">
        <x:v>Codex</x:v>
      </x:c>
      <x:c r="E29" s="12" t="n">
        <x:v>46287</x:v>
      </x:c>
      <x:c r="F29" s="11" t="str">
        <x:v>Not Started</x:v>
      </x:c>
      <x:c r="G29" s="13" t="n">
        <x:f>IF(F29="Done",1,IF(F29="Review",0.9,IF(F29="In Progress",0.5,IF(F29="Blocked",0.25,0))))</x:f>
        <x:v>0</x:v>
      </x:c>
      <x:c r="H29" s="11" t="str">
        <x:v>Contract review/tests</x:v>
      </x:c>
      <x:c r="I29" s="11" t="str"/>
    </x:row>
    <x:row r="30">
      <x:c r="A30" s="11" t="str">
        <x:v>P3 Web / Local / Policy</x:v>
      </x:c>
      <x:c r="B30" s="11" t="str">
        <x:v>LM Studio / Generic OpenAI-compatible profile</x:v>
      </x:c>
      <x:c r="C30" s="11" t="str">
        <x:v>P0</x:v>
      </x:c>
      <x:c r="D30" s="11" t="str">
        <x:v>OpenCode</x:v>
      </x:c>
      <x:c r="E30" s="12" t="n">
        <x:v>46289</x:v>
      </x:c>
      <x:c r="F30" s="11" t="str">
        <x:v>Not Started</x:v>
      </x:c>
      <x:c r="G30" s="13" t="n">
        <x:f>IF(F30="Done",1,IF(F30="Review",0.9,IF(F30="In Progress",0.5,IF(F30="Blocked",0.25,0))))</x:f>
        <x:v>0</x:v>
      </x:c>
      <x:c r="H30" s="11" t="str">
        <x:v>Discovery/stream/result</x:v>
      </x:c>
      <x:c r="I30" s="11" t="str"/>
    </x:row>
    <x:row r="31">
      <x:c r="A31" s="11" t="str">
        <x:v>P3 Web / Local / Policy</x:v>
      </x:c>
      <x:c r="B31" s="11" t="str">
        <x:v>Ollama profile</x:v>
      </x:c>
      <x:c r="C31" s="11" t="str">
        <x:v>P1</x:v>
      </x:c>
      <x:c r="D31" s="11" t="str">
        <x:v>OpenCode</x:v>
      </x:c>
      <x:c r="E31" s="12" t="n">
        <x:v>46290</x:v>
      </x:c>
      <x:c r="F31" s="11" t="str">
        <x:v>Not Started</x:v>
      </x:c>
      <x:c r="G31" s="13" t="n">
        <x:f>IF(F31="Done",1,IF(F31="Review",0.9,IF(F31="In Progress",0.5,IF(F31="Blocked",0.25,0))))</x:f>
        <x:v>0</x:v>
      </x:c>
      <x:c r="H31" s="11" t="str">
        <x:v>Discovery/stream/result</x:v>
      </x:c>
      <x:c r="I31" s="11" t="str"/>
    </x:row>
    <x:row r="32">
      <x:c r="A32" s="11" t="str">
        <x:v>P3 Web / Local / Policy</x:v>
      </x:c>
      <x:c r="B32" s="11" t="str">
        <x:v>WebSurface contract + companion boundary</x:v>
      </x:c>
      <x:c r="C32" s="11" t="str">
        <x:v>P0</x:v>
      </x:c>
      <x:c r="D32" s="11" t="str">
        <x:v>Codex</x:v>
      </x:c>
      <x:c r="E32" s="12" t="n">
        <x:v>46290</x:v>
      </x:c>
      <x:c r="F32" s="11" t="str">
        <x:v>Not Started</x:v>
      </x:c>
      <x:c r="G32" s="13" t="n">
        <x:f>IF(F32="Done",1,IF(F32="Review",0.9,IF(F32="In Progress",0.5,IF(F32="Blocked",0.25,0))))</x:f>
        <x:v>0</x:v>
      </x:c>
      <x:c r="H32" s="11" t="str">
        <x:v>No vendor DOM in core</x:v>
      </x:c>
      <x:c r="I32" s="11" t="str"/>
    </x:row>
    <x:row r="33">
      <x:c r="A33" s="11" t="str">
        <x:v>P3 Web / Local / Policy</x:v>
      </x:c>
      <x:c r="B33" s="11" t="str">
        <x:v>ChatGPT Web Level 3A</x:v>
      </x:c>
      <x:c r="C33" s="11" t="str">
        <x:v>P0</x:v>
      </x:c>
      <x:c r="D33" s="11" t="str">
        <x:v>OpenCode</x:v>
      </x:c>
      <x:c r="E33" s="12" t="n">
        <x:v>46293</x:v>
      </x:c>
      <x:c r="F33" s="11" t="str">
        <x:v>Not Started</x:v>
      </x:c>
      <x:c r="G33" s="13" t="n">
        <x:f>IF(F33="Done",1,IF(F33="Review",0.9,IF(F33="In Progress",0.5,IF(F33="Blocked",0.25,0))))</x:f>
        <x:v>0</x:v>
      </x:c>
      <x:c r="H33" s="11" t="str">
        <x:v>Launch/fill/capture/fallback</x:v>
      </x:c>
      <x:c r="I33" s="11" t="str"/>
    </x:row>
    <x:row r="34">
      <x:c r="A34" s="11" t="str">
        <x:v>P3 Web / Local / Policy</x:v>
      </x:c>
      <x:c r="B34" s="11" t="str">
        <x:v>Claude Web Level 3A</x:v>
      </x:c>
      <x:c r="C34" s="11" t="str">
        <x:v>P1</x:v>
      </x:c>
      <x:c r="D34" s="11" t="str">
        <x:v>OpenCode</x:v>
      </x:c>
      <x:c r="E34" s="12" t="n">
        <x:v>46295</x:v>
      </x:c>
      <x:c r="F34" s="11" t="str">
        <x:v>Not Started</x:v>
      </x:c>
      <x:c r="G34" s="13" t="n">
        <x:f>IF(F34="Done",1,IF(F34="Review",0.9,IF(F34="In Progress",0.5,IF(F34="Blocked",0.25,0))))</x:f>
        <x:v>0</x:v>
      </x:c>
      <x:c r="H34" s="11" t="str">
        <x:v>Launch/fill/capture/fallback</x:v>
      </x:c>
      <x:c r="I34" s="11" t="str"/>
    </x:row>
    <x:row r="35">
      <x:c r="A35" s="11" t="str">
        <x:v>P3 Web / Local / Policy</x:v>
      </x:c>
      <x:c r="B35" s="11" t="str">
        <x:v>Gemini Web Level 3A</x:v>
      </x:c>
      <x:c r="C35" s="11" t="str">
        <x:v>P1</x:v>
      </x:c>
      <x:c r="D35" s="11" t="str">
        <x:v>OpenCode</x:v>
      </x:c>
      <x:c r="E35" s="12" t="n">
        <x:v>46297</x:v>
      </x:c>
      <x:c r="F35" s="11" t="str">
        <x:v>Not Started</x:v>
      </x:c>
      <x:c r="G35" s="13" t="n">
        <x:f>IF(F35="Done",1,IF(F35="Review",0.9,IF(F35="In Progress",0.5,IF(F35="Blocked",0.25,0))))</x:f>
        <x:v>0</x:v>
      </x:c>
      <x:c r="H35" s="11" t="str">
        <x:v>Launch/fill/capture/fallback</x:v>
      </x:c>
      <x:c r="I35" s="11" t="str"/>
    </x:row>
    <x:row r="36">
      <x:c r="A36" s="11" t="str">
        <x:v>P3 Web / Local / Policy</x:v>
      </x:c>
      <x:c r="B36" s="11" t="str">
        <x:v>Browser E2E / fallback milestone</x:v>
      </x:c>
      <x:c r="C36" s="11" t="str">
        <x:v>P0</x:v>
      </x:c>
      <x:c r="D36" s="11" t="str">
        <x:v>Antigravity</x:v>
      </x:c>
      <x:c r="E36" s="12" t="n">
        <x:v>46298</x:v>
      </x:c>
      <x:c r="F36" s="11" t="str">
        <x:v>Not Started</x:v>
      </x:c>
      <x:c r="G36" s="13" t="n">
        <x:f>IF(F36="Done",1,IF(F36="Review",0.9,IF(F36="In Progress",0.5,IF(F36="Blocked",0.25,0))))</x:f>
        <x:v>0</x:v>
      </x:c>
      <x:c r="H36" s="11" t="str">
        <x:v>Driver failure does not break core</x:v>
      </x:c>
      <x:c r="I36" s="11" t="str"/>
    </x:row>
    <x:row r="37">
      <x:c r="A37" s="11" t="str">
        <x:v>P3 Web / Local / Policy</x:v>
      </x:c>
      <x:c r="B37" s="11" t="str">
        <x:v>Data classification + routing + Local-only</x:v>
      </x:c>
      <x:c r="C37" s="11" t="str">
        <x:v>P0</x:v>
      </x:c>
      <x:c r="D37" s="11" t="str">
        <x:v>Codex</x:v>
      </x:c>
      <x:c r="E37" s="12" t="n">
        <x:v>46299</x:v>
      </x:c>
      <x:c r="F37" s="11" t="str">
        <x:v>Not Started</x:v>
      </x:c>
      <x:c r="G37" s="13" t="n">
        <x:f>IF(F37="Done",1,IF(F37="Review",0.9,IF(F37="In Progress",0.5,IF(F37="Blocked",0.25,0))))</x:f>
        <x:v>0</x:v>
      </x:c>
      <x:c r="H37" s="11" t="str">
        <x:v>No silent sensitive cloud fallback</x:v>
      </x:c>
      <x:c r="I37" s="11" t="str"/>
    </x:row>
    <x:row r="38">
      <x:c r="A38" s="11" t="str">
        <x:v>P4 Product Completion</x:v>
      </x:c>
      <x:c r="B38" s="11" t="str">
        <x:v>9 built-in workflow templates complete</x:v>
      </x:c>
      <x:c r="C38" s="11" t="str">
        <x:v>P1</x:v>
      </x:c>
      <x:c r="D38" s="11" t="str">
        <x:v>OpenCode</x:v>
      </x:c>
      <x:c r="E38" s="12" t="n">
        <x:v>46304</x:v>
      </x:c>
      <x:c r="F38" s="11" t="str">
        <x:v>Not Started</x:v>
      </x:c>
      <x:c r="G38" s="13" t="n">
        <x:f>IF(F38="Done",1,IF(F38="Review",0.9,IF(F38="In Progress",0.5,IF(F38="Blocked",0.25,0))))</x:f>
        <x:v>0</x:v>
      </x:c>
      <x:c r="H38" s="11" t="str">
        <x:v>Template validation + smoke runs</x:v>
      </x:c>
      <x:c r="I38" s="11" t="str"/>
    </x:row>
    <x:row r="39">
      <x:c r="A39" s="11" t="str">
        <x:v>P4 Product Completion</x:v>
      </x:c>
      <x:c r="B39" s="11" t="str">
        <x:v>Backup / restore</x:v>
      </x:c>
      <x:c r="C39" s="11" t="str">
        <x:v>P0</x:v>
      </x:c>
      <x:c r="D39" s="11" t="str">
        <x:v>OpenCode</x:v>
      </x:c>
      <x:c r="E39" s="12" t="n">
        <x:v>46305</x:v>
      </x:c>
      <x:c r="F39" s="11" t="str">
        <x:v>Not Started</x:v>
      </x:c>
      <x:c r="G39" s="13" t="n">
        <x:f>IF(F39="Done",1,IF(F39="Review",0.9,IF(F39="In Progress",0.5,IF(F39="Blocked",0.25,0))))</x:f>
        <x:v>0</x:v>
      </x:c>
      <x:c r="H39" s="11" t="str">
        <x:v>Restore from fresh workspace</x:v>
      </x:c>
      <x:c r="I39" s="11" t="str"/>
    </x:row>
    <x:row r="40">
      <x:c r="A40" s="11" t="str">
        <x:v>P4 Product Completion</x:v>
      </x:c>
      <x:c r="B40" s="11" t="str">
        <x:v>Schema migration acceptance</x:v>
      </x:c>
      <x:c r="C40" s="11" t="str">
        <x:v>P0</x:v>
      </x:c>
      <x:c r="D40" s="11" t="str">
        <x:v>Codex</x:v>
      </x:c>
      <x:c r="E40" s="12" t="n">
        <x:v>46306</x:v>
      </x:c>
      <x:c r="F40" s="11" t="str">
        <x:v>Not Started</x:v>
      </x:c>
      <x:c r="G40" s="13" t="n">
        <x:f>IF(F40="Done",1,IF(F40="Review",0.9,IF(F40="In Progress",0.5,IF(F40="Blocked",0.25,0))))</x:f>
        <x:v>0</x:v>
      </x:c>
      <x:c r="H40" s="11" t="str">
        <x:v>Old data migration + backup gate</x:v>
      </x:c>
      <x:c r="I40" s="11" t="str"/>
    </x:row>
    <x:row r="41">
      <x:c r="A41" s="11" t="str">
        <x:v>P4 Product Completion</x:v>
      </x:c>
      <x:c r="B41" s="11" t="str">
        <x:v>Budget / timeout / concurrency guard</x:v>
      </x:c>
      <x:c r="C41" s="11" t="str">
        <x:v>P1</x:v>
      </x:c>
      <x:c r="D41" s="11" t="str">
        <x:v>OpenCode</x:v>
      </x:c>
      <x:c r="E41" s="12" t="n">
        <x:v>46307</x:v>
      </x:c>
      <x:c r="F41" s="11" t="str">
        <x:v>Not Started</x:v>
      </x:c>
      <x:c r="G41" s="13" t="n">
        <x:f>IF(F41="Done",1,IF(F41="Review",0.9,IF(F41="In Progress",0.5,IF(F41="Blocked",0.25,0))))</x:f>
        <x:v>0</x:v>
      </x:c>
      <x:c r="H41" s="11" t="str">
        <x:v>Limits tested</x:v>
      </x:c>
      <x:c r="I41" s="11" t="str"/>
    </x:row>
    <x:row r="42">
      <x:c r="A42" s="11" t="str">
        <x:v>P4 Product Completion</x:v>
      </x:c>
      <x:c r="B42" s="11" t="str">
        <x:v>Usage / quality metrics baseline</x:v>
      </x:c>
      <x:c r="C42" s="11" t="str">
        <x:v>P1</x:v>
      </x:c>
      <x:c r="D42" s="11" t="str">
        <x:v>OpenCode</x:v>
      </x:c>
      <x:c r="E42" s="12" t="n">
        <x:v>46308</x:v>
      </x:c>
      <x:c r="F42" s="11" t="str">
        <x:v>Not Started</x:v>
      </x:c>
      <x:c r="G42" s="13" t="n">
        <x:f>IF(F42="Done",1,IF(F42="Review",0.9,IF(F42="In Progress",0.5,IF(F42="Blocked",0.25,0))))</x:f>
        <x:v>0</x:v>
      </x:c>
      <x:c r="H42" s="11" t="str">
        <x:v>Finding/fallback metrics</x:v>
      </x:c>
      <x:c r="I42" s="11" t="str"/>
    </x:row>
    <x:row r="43">
      <x:c r="A43" s="11" t="str">
        <x:v>P4 Product Completion</x:v>
      </x:c>
      <x:c r="B43" s="11" t="str">
        <x:v>UX progressive disclosure pass</x:v>
      </x:c>
      <x:c r="C43" s="11" t="str">
        <x:v>P0</x:v>
      </x:c>
      <x:c r="D43" s="11" t="str">
        <x:v>Antigravity</x:v>
      </x:c>
      <x:c r="E43" s="12" t="n">
        <x:v>46309</x:v>
      </x:c>
      <x:c r="F43" s="11" t="str">
        <x:v>Not Started</x:v>
      </x:c>
      <x:c r="G43" s="13" t="n">
        <x:f>IF(F43="Done",1,IF(F43="Review",0.9,IF(F43="In Progress",0.5,IF(F43="Blocked",0.25,0))))</x:f>
        <x:v>0</x:v>
      </x:c>
      <x:c r="H43" s="11" t="str">
        <x:v>User journey / dead-end report</x:v>
      </x:c>
      <x:c r="I43" s="11" t="str"/>
    </x:row>
    <x:row r="44">
      <x:c r="A44" s="11" t="str">
        <x:v>P4 Product Completion</x:v>
      </x:c>
      <x:c r="B44" s="11" t="str">
        <x:v>Four golden workflow deep regression</x:v>
      </x:c>
      <x:c r="C44" s="11" t="str">
        <x:v>P0</x:v>
      </x:c>
      <x:c r="D44" s="11" t="str">
        <x:v>Shared</x:v>
      </x:c>
      <x:c r="E44" s="12" t="n">
        <x:v>46311</x:v>
      </x:c>
      <x:c r="F44" s="11" t="str">
        <x:v>Not Started</x:v>
      </x:c>
      <x:c r="G44" s="13" t="n">
        <x:f>IF(F44="Done",1,IF(F44="Review",0.9,IF(F44="In Progress",0.5,IF(F44="Blocked",0.25,0))))</x:f>
        <x:v>0</x:v>
      </x:c>
      <x:c r="H44" s="11" t="str">
        <x:v>Current evidence bundle</x:v>
      </x:c>
      <x:c r="I44" s="11" t="str"/>
    </x:row>
    <x:row r="45">
      <x:c r="A45" s="11" t="str">
        <x:v>P4 Product Completion</x:v>
      </x:c>
      <x:c r="B45" s="11" t="str">
        <x:v>Feature freeze readiness review</x:v>
      </x:c>
      <x:c r="C45" s="11" t="str">
        <x:v>P0</x:v>
      </x:c>
      <x:c r="D45" s="11" t="str">
        <x:v>Codex</x:v>
      </x:c>
      <x:c r="E45" s="12" t="n">
        <x:v>46313</x:v>
      </x:c>
      <x:c r="F45" s="11" t="str">
        <x:v>Not Started</x:v>
      </x:c>
      <x:c r="G45" s="13" t="n">
        <x:f>IF(F45="Done",1,IF(F45="Review",0.9,IF(F45="In Progress",0.5,IF(F45="Blocked",0.25,0))))</x:f>
        <x:v>0</x:v>
      </x:c>
      <x:c r="H45" s="11" t="str">
        <x:v>No blocker / scope frozen</x:v>
      </x:c>
      <x:c r="I45" s="11" t="str"/>
    </x:row>
    <x:row r="46">
      <x:c r="A46" s="11" t="str">
        <x:v>P5 Hardening / Acceptance</x:v>
      </x:c>
      <x:c r="B46" s="11" t="str">
        <x:v>Full regression + failure injection</x:v>
      </x:c>
      <x:c r="C46" s="11" t="str">
        <x:v>P0</x:v>
      </x:c>
      <x:c r="D46" s="11" t="str">
        <x:v>OpenCode</x:v>
      </x:c>
      <x:c r="E46" s="12" t="n">
        <x:v>46317</x:v>
      </x:c>
      <x:c r="F46" s="11" t="str">
        <x:v>Not Started</x:v>
      </x:c>
      <x:c r="G46" s="13" t="n">
        <x:f>IF(F46="Done",1,IF(F46="Review",0.9,IF(F46="In Progress",0.5,IF(F46="Blocked",0.25,0))))</x:f>
        <x:v>0</x:v>
      </x:c>
      <x:c r="H46" s="11" t="str">
        <x:v>Actual test report</x:v>
      </x:c>
      <x:c r="I46" s="11" t="str"/>
    </x:row>
    <x:row r="47">
      <x:c r="A47" s="11" t="str">
        <x:v>P5 Hardening / Acceptance</x:v>
      </x:c>
      <x:c r="B47" s="11" t="str">
        <x:v>Cancel / timeout / child cleanup verification</x:v>
      </x:c>
      <x:c r="C47" s="11" t="str">
        <x:v>P0</x:v>
      </x:c>
      <x:c r="D47" s="11" t="str">
        <x:v>Antigravity</x:v>
      </x:c>
      <x:c r="E47" s="12" t="n">
        <x:v>46319</x:v>
      </x:c>
      <x:c r="F47" s="11" t="str">
        <x:v>Not Started</x:v>
      </x:c>
      <x:c r="G47" s="13" t="n">
        <x:f>IF(F47="Done",1,IF(F47="Review",0.9,IF(F47="In Progress",0.5,IF(F47="Blocked",0.25,0))))</x:f>
        <x:v>0</x:v>
      </x:c>
      <x:c r="H47" s="11" t="str">
        <x:v>Process evidence</x:v>
      </x:c>
      <x:c r="I47" s="11" t="str"/>
    </x:row>
    <x:row r="48">
      <x:c r="A48" s="11" t="str">
        <x:v>P5 Hardening / Acceptance</x:v>
      </x:c>
      <x:c r="B48" s="11" t="str">
        <x:v>Security / secret / egress review</x:v>
      </x:c>
      <x:c r="C48" s="11" t="str">
        <x:v>P0</x:v>
      </x:c>
      <x:c r="D48" s="11" t="str">
        <x:v>Codex</x:v>
      </x:c>
      <x:c r="E48" s="12" t="n">
        <x:v>46320</x:v>
      </x:c>
      <x:c r="F48" s="11" t="str">
        <x:v>Not Started</x:v>
      </x:c>
      <x:c r="G48" s="13" t="n">
        <x:f>IF(F48="Done",1,IF(F48="Review",0.9,IF(F48="In Progress",0.5,IF(F48="Blocked",0.25,0))))</x:f>
        <x:v>0</x:v>
      </x:c>
      <x:c r="H48" s="11" t="str">
        <x:v>No critical finding</x:v>
      </x:c>
      <x:c r="I48" s="11" t="str"/>
    </x:row>
    <x:row r="49">
      <x:c r="A49" s="11" t="str">
        <x:v>P5 Hardening / Acceptance</x:v>
      </x:c>
      <x:c r="B49" s="11" t="str">
        <x:v>Backup / restore / migration final test</x:v>
      </x:c>
      <x:c r="C49" s="11" t="str">
        <x:v>P0</x:v>
      </x:c>
      <x:c r="D49" s="11" t="str">
        <x:v>OpenCode</x:v>
      </x:c>
      <x:c r="E49" s="12" t="n">
        <x:v>46321</x:v>
      </x:c>
      <x:c r="F49" s="11" t="str">
        <x:v>Not Started</x:v>
      </x:c>
      <x:c r="G49" s="13" t="n">
        <x:f>IF(F49="Done",1,IF(F49="Review",0.9,IF(F49="In Progress",0.5,IF(F49="Blocked",0.25,0))))</x:f>
        <x:v>0</x:v>
      </x:c>
      <x:c r="H49" s="11" t="str">
        <x:v>Fresh restore evidence</x:v>
      </x:c>
      <x:c r="I49" s="11" t="str"/>
    </x:row>
    <x:row r="50">
      <x:c r="A50" s="11" t="str">
        <x:v>P5 Hardening / Acceptance</x:v>
      </x:c>
      <x:c r="B50" s="11" t="str">
        <x:v>Packaging / clean install test</x:v>
      </x:c>
      <x:c r="C50" s="11" t="str">
        <x:v>P0</x:v>
      </x:c>
      <x:c r="D50" s="11" t="str">
        <x:v>Antigravity</x:v>
      </x:c>
      <x:c r="E50" s="12" t="n">
        <x:v>46323</x:v>
      </x:c>
      <x:c r="F50" s="11" t="str">
        <x:v>Not Started</x:v>
      </x:c>
      <x:c r="G50" s="13" t="n">
        <x:f>IF(F50="Done",1,IF(F50="Review",0.9,IF(F50="In Progress",0.5,IF(F50="Blocked",0.25,0))))</x:f>
        <x:v>0</x:v>
      </x:c>
      <x:c r="H50" s="11" t="str">
        <x:v>Clean install walkthrough</x:v>
      </x:c>
      <x:c r="I50" s="11" t="str"/>
    </x:row>
    <x:row r="51">
      <x:c r="A51" s="11" t="str">
        <x:v>P5 Hardening / Acceptance</x:v>
      </x:c>
      <x:c r="B51" s="11" t="str">
        <x:v>Final compatibility matrix + known limitations</x:v>
      </x:c>
      <x:c r="C51" s="11" t="str">
        <x:v>P1</x:v>
      </x:c>
      <x:c r="D51" s="11" t="str">
        <x:v>OpenCode</x:v>
      </x:c>
      <x:c r="E51" s="12" t="n">
        <x:v>46324</x:v>
      </x:c>
      <x:c r="F51" s="11" t="str">
        <x:v>Not Started</x:v>
      </x:c>
      <x:c r="G51" s="13" t="n">
        <x:f>IF(F51="Done",1,IF(F51="Review",0.9,IF(F51="In Progress",0.5,IF(F51="Blocked",0.25,0))))</x:f>
        <x:v>0</x:v>
      </x:c>
      <x:c r="H51" s="11" t="str">
        <x:v>Published docs</x:v>
      </x:c>
      <x:c r="I51" s="11" t="str"/>
    </x:row>
    <x:row r="52">
      <x:c r="A52" s="11" t="str">
        <x:v>P5 Hardening / Acceptance</x:v>
      </x:c>
      <x:c r="B52" s="11" t="str">
        <x:v>V1 RC final acceptance</x:v>
      </x:c>
      <x:c r="C52" s="11" t="str">
        <x:v>P0</x:v>
      </x:c>
      <x:c r="D52" s="11" t="str">
        <x:v>Shared</x:v>
      </x:c>
      <x:c r="E52" s="12" t="n">
        <x:v>46326</x:v>
      </x:c>
      <x:c r="F52" s="11" t="str">
        <x:v>Not Started</x:v>
      </x:c>
      <x:c r="G52" s="13" t="n">
        <x:f>IF(F52="Done",1,IF(F52="Review",0.9,IF(F52="In Progress",0.5,IF(F52="Blocked",0.25,0))))</x:f>
        <x:v>0</x:v>
      </x:c>
      <x:c r="H52" s="11" t="str">
        <x:v>PASS/FAIL/NEED ACTION with evidence</x:v>
      </x:c>
      <x:c r="I52" s="11" t="str"/>
    </x:row>
  </x:sheetData>
  <x:conditionalFormatting sqref="F2:F52">
    <x:cfRule type="expression" dxfId="0" priority="1">
      <x:formula>F2="Blocked"</x:formula>
    </x:cfRule>
    <x:cfRule type="expression" dxfId="1" priority="2">
      <x:formula>F2="Done"</x:formula>
    </x:cfRule>
  </x:conditionalFormatting>
  <x:dataValidations count="3">
    <x:dataValidation type="list" sqref="C2:C52">
      <x:formula1>"P0,P1,P2,P3"</x:formula1>
    </x:dataValidation>
    <x:dataValidation type="list" sqref="D2:D52">
      <x:formula1>"Human,Codex,OpenCode,Antigravity,Shared"</x:formula1>
    </x:dataValidation>
    <x:dataValidation type="list" sqref="F2:F52">
      <x:formula1>"Not Started,In Progress,Review,Blocked,Done,Deferred"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4" max="4" width="28" hidden="0" customWidth="1"/>
    <x:col min="5" max="5" width="14" hidden="0" customWidth="1"/>
  </x:cols>
  <x:sheetData>
    <x:row r="1" ht="28" customHeight="1">
      <x:c r="A1" s="20" t="str">
        <x:v>PolyNexus V1 Project Dashboard</x:v>
      </x:c>
      <x:c r="B1" s="20"/>
      <x:c r="C1" s="20"/>
      <x:c r="D1" s="20"/>
      <x:c r="E1" s="20"/>
      <x:c r="F1" s="20"/>
      <x:c r="G1" s="20"/>
      <x:c r="H1" s="20"/>
    </x:row>
    <x:row r="3">
      <x:c r="A3" s="34" t="str">
        <x:v>KPI</x:v>
      </x:c>
      <x:c r="B3" s="34" t="str">
        <x:v>Value</x:v>
      </x:c>
      <x:c r="C3" s="11"/>
      <x:c r="D3" s="35" t="str">
        <x:v>Phase Progress</x:v>
      </x:c>
      <x:c r="E3" s="35"/>
      <x:c r="F3" s="35"/>
      <x:c r="G3" s="35"/>
      <x:c r="H3" s="35"/>
    </x:row>
    <x:row r="4">
      <x:c r="A4" s="11" t="str">
        <x:v>Tracker Baseline Date</x:v>
      </x:c>
      <x:c r="B4" s="12" t="n">
        <x:v>46251</x:v>
      </x:c>
      <x:c r="C4" s="11"/>
      <x:c r="D4" s="11" t="str">
        <x:v>Phase</x:v>
      </x:c>
      <x:c r="E4" s="11" t="str">
        <x:v>Progress</x:v>
      </x:c>
      <x:c r="F4" s="11"/>
      <x:c r="G4" s="11"/>
      <x:c r="H4" s="11"/>
    </x:row>
    <x:row r="5">
      <x:c r="A5" s="11" t="str">
        <x:v>Initial Review Deadline</x:v>
      </x:c>
      <x:c r="B5" s="12" t="n">
        <x:v>46272</x:v>
      </x:c>
      <x:c r="C5" s="11"/>
      <x:c r="D5" s="11" t="str">
        <x:v>P0 Scope / Competition</x:v>
      </x:c>
      <x:c r="E5" s="13" t="n">
        <x:f>IFERROR(AVERAGEIF(DevChecklist!A2:A52,D5,DevChecklist!G2:G52),0)</x:f>
        <x:v>0.48</x:v>
      </x:c>
      <x:c r="F5" s="11"/>
      <x:c r="G5" s="11"/>
      <x:c r="H5" s="11"/>
    </x:row>
    <x:row r="6">
      <x:c r="A6" s="11" t="str">
        <x:v>Feature Freeze</x:v>
      </x:c>
      <x:c r="B6" s="12" t="n">
        <x:v>46313</x:v>
      </x:c>
      <x:c r="C6" s="11"/>
      <x:c r="D6" s="11" t="str">
        <x:v>P1 First Vertical Slice</x:v>
      </x:c>
      <x:c r="E6" s="13" t="n">
        <x:f>IFERROR(AVERAGEIF(DevChecklist!A2:A52,D6,DevChecklist!G2:G52),0)</x:f>
        <x:v>0.1</x:v>
      </x:c>
      <x:c r="F6" s="11"/>
      <x:c r="G6" s="11"/>
      <x:c r="H6" s="11"/>
    </x:row>
    <x:row r="7">
      <x:c r="A7" s="11" t="str">
        <x:v>V1 Acceptance Complete</x:v>
      </x:c>
      <x:c r="B7" s="12" t="n">
        <x:v>46326</x:v>
      </x:c>
      <x:c r="C7" s="11"/>
      <x:c r="D7" s="11" t="str">
        <x:v>P2 Core Product</x:v>
      </x:c>
      <x:c r="E7" s="13" t="n">
        <x:f>IFERROR(AVERAGEIF(DevChecklist!A2:A52,D7,DevChecklist!G2:G52),0)</x:f>
        <x:v>0</x:v>
      </x:c>
      <x:c r="F7" s="11"/>
      <x:c r="G7" s="11"/>
      <x:c r="H7" s="11"/>
    </x:row>
    <x:row r="8">
      <x:c r="A8" s="11" t="str">
        <x:v>Overall Task Progress</x:v>
      </x:c>
      <x:c r="B8" s="13" t="n">
        <x:f>IFERROR(AVERAGE(DevChecklist!G2:G52),0)</x:f>
        <x:v>0.11176470588235295</x:v>
      </x:c>
      <x:c r="C8" s="11"/>
      <x:c r="D8" s="11" t="str">
        <x:v>P3 Web / Local / Policy</x:v>
      </x:c>
      <x:c r="E8" s="13" t="n">
        <x:f>IFERROR(AVERAGEIF(DevChecklist!A2:A52,D8,DevChecklist!G2:G52),0)</x:f>
        <x:v>0</x:v>
      </x:c>
      <x:c r="F8" s="11"/>
      <x:c r="G8" s="11"/>
      <x:c r="H8" s="11"/>
    </x:row>
    <x:row r="9">
      <x:c r="A9" s="11" t="str">
        <x:v>Open Blockers</x:v>
      </x:c>
      <x:c r="B9" s="11" t="n">
        <x:f>COUNTIF(DevChecklist!F2:F52,"Blocked")</x:f>
        <x:v>0</x:v>
      </x:c>
      <x:c r="C9" s="11"/>
      <x:c r="D9" s="11" t="str">
        <x:v>P4 Product Completion</x:v>
      </x:c>
      <x:c r="E9" s="13" t="n">
        <x:f>IFERROR(AVERAGEIF(DevChecklist!A2:A52,D9,DevChecklist!G2:G52),0)</x:f>
        <x:v>0</x:v>
      </x:c>
      <x:c r="F9" s="11"/>
      <x:c r="G9" s="11"/>
      <x:c r="H9" s="11"/>
    </x:row>
    <x:row r="10">
      <x:c r="A10" s="11"/>
      <x:c r="B10" s="11"/>
      <x:c r="C10" s="11"/>
      <x:c r="D10" s="11" t="str">
        <x:v>P5 Hardening / Acceptance</x:v>
      </x:c>
      <x:c r="E10" s="13" t="n">
        <x:f>IFERROR(AVERAGEIF(DevChecklist!A2:A52,D10,DevChecklist!G2:G52),0)</x:f>
        <x:v>0</x:v>
      </x:c>
      <x:c r="F10" s="11"/>
      <x:c r="G10" s="11"/>
      <x:c r="H10" s="11"/>
    </x:row>
    <x:row r="11">
      <x:c r="A11" s="11"/>
      <x:c r="B11" s="11"/>
      <x:c r="C11" s="11"/>
      <x:c r="D11" s="11"/>
      <x:c r="E11" s="11"/>
      <x:c r="F11" s="11"/>
      <x:c r="G11" s="11"/>
      <x:c r="H11" s="11"/>
    </x:row>
    <x:row r="12">
      <x:c r="A12" s="36" t="str">
        <x:v>Hard Gate</x:v>
      </x:c>
      <x:c r="B12" s="36" t="str">
        <x:v>Rule</x:v>
      </x:c>
      <x:c r="C12" s="11"/>
      <x:c r="D12" s="65" t="str">
        <x:v>Key Dates / Gates</x:v>
      </x:c>
      <x:c r="E12" s="65"/>
      <x:c r="F12" s="65"/>
      <x:c r="G12" s="65"/>
      <x:c r="H12" s="65"/>
    </x:row>
    <x:row r="13">
      <x:c r="A13" s="11" t="str">
        <x:v>Single Active Writer</x:v>
      </x:c>
      <x:c r="B13" s="11" t="str">
        <x:v>Only one AI tool writes to the active branch at a time</x:v>
      </x:c>
      <x:c r="C13" s="11"/>
      <x:c r="D13" s="68" t="str">
        <x:v>2026-08-25</x:v>
      </x:c>
      <x:c r="E13" s="11" t="str">
        <x:v>Competition content v1</x:v>
      </x:c>
      <x:c r="F13" s="11" t="str"/>
      <x:c r="G13" s="11" t="str"/>
      <x:c r="H13" s="11" t="str"/>
    </x:row>
    <x:row r="14">
      <x:c r="A14" s="11" t="str">
        <x:v>Deterministic PASS</x:v>
      </x:c>
      <x:c r="B14" s="11" t="str">
        <x:v>Real command/tool evidence and exit codes decide PASS</x:v>
      </x:c>
      <x:c r="C14" s="11"/>
      <x:c r="D14" s="68" t="str">
        <x:v>2026-09-07</x:v>
      </x:c>
      <x:c r="E14" s="11" t="str">
        <x:v>Initial review submission</x:v>
      </x:c>
      <x:c r="F14" s="11" t="str"/>
      <x:c r="G14" s="11" t="str"/>
      <x:c r="H14" s="11" t="str"/>
    </x:row>
    <x:row r="15">
      <x:c r="A15" s="11" t="str">
        <x:v>Scope Control</x:v>
      </x:c>
      <x:c r="B15" s="11" t="str">
        <x:v>New feature must replace planned work or move to Future</x:v>
      </x:c>
      <x:c r="C15" s="11"/>
      <x:c r="D15" s="68" t="str">
        <x:v>2026-09-20</x:v>
      </x:c>
      <x:c r="E15" s="11" t="str">
        <x:v>Core product gate</x:v>
      </x:c>
      <x:c r="F15" s="11" t="str"/>
      <x:c r="G15" s="11" t="str"/>
      <x:c r="H15" s="11" t="str"/>
    </x:row>
    <x:row r="16">
      <x:c r="A16" s="11" t="str">
        <x:v>Token Control</x:v>
      </x:c>
      <x:c r="B16" s="11" t="str">
        <x:v>Delta handoff; no repeated full-repo reading</x:v>
      </x:c>
      <x:c r="C16" s="11"/>
      <x:c r="D16" s="68" t="str">
        <x:v>2026-10-18</x:v>
      </x:c>
      <x:c r="E16" s="11" t="str">
        <x:v>Feature freeze</x:v>
      </x:c>
      <x:c r="F16" s="11" t="str"/>
      <x:c r="G16" s="11" t="str"/>
      <x:c r="H16" s="11" t="str"/>
    </x:row>
    <x:row r="17">
      <x:c r="A17" s="11" t="str">
        <x:v>Feature Freeze</x:v>
      </x:c>
      <x:c r="B17" s="11" t="str">
        <x:v>No new features after 2026-10-18</x:v>
      </x:c>
      <x:c r="C17" s="11"/>
      <x:c r="D17" s="68" t="str">
        <x:v>2026-10-31</x:v>
      </x:c>
      <x:c r="E17" s="11" t="str">
        <x:v>V1 acceptance complete</x:v>
      </x:c>
      <x:c r="F17" s="11" t="str"/>
      <x:c r="G17" s="11" t="str"/>
      <x:c r="H17" s="11" t="str"/>
    </x:row>
  </x:sheetData>
  <x:mergeCells>
    <x:mergeCell ref="A1:H1"/>
    <x:mergeCell ref="D3:H3"/>
    <x:mergeCell ref="D12:H12"/>
  </x:mergeCells>
  <x:conditionalFormatting sqref="E5:E1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56082"/>
            </x14:dataBar>
          </x14:cfRule>
          <xm:sqref>E5:E10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0" hidden="0" customWidth="1"/>
    <x:col min="4" max="4" width="16" hidden="0" customWidth="1"/>
    <x:col min="5" max="5" width="16" hidden="0" customWidth="1"/>
    <x:col min="6" max="6" width="28" hidden="0" customWidth="1"/>
    <x:col min="7" max="7" width="30" hidden="0" customWidth="1"/>
  </x:cols>
  <x:sheetData>
    <x:row r="1">
      <x:c r="A1" s="10" t="str">
        <x:v>Milestone</x:v>
      </x:c>
      <x:c r="B1" s="10" t="str">
        <x:v>Target Date</x:v>
      </x:c>
      <x:c r="C1" s="10" t="str">
        <x:v>Exit Criteria</x:v>
      </x:c>
      <x:c r="D1" s="10" t="str">
        <x:v>Status</x:v>
      </x:c>
      <x:c r="E1" s="10" t="str">
        <x:v>Owner</x:v>
      </x:c>
      <x:c r="F1" s="10" t="str">
        <x:v>Evidence / Link</x:v>
      </x:c>
      <x:c r="G1" s="10" t="str">
        <x:v>Notes</x:v>
      </x:c>
    </x:row>
    <x:row r="2">
      <x:c r="A2" s="11" t="str">
        <x:v>Scope Baseline Freeze</x:v>
      </x:c>
      <x:c r="B2" s="12" t="n">
        <x:v>46254</x:v>
      </x:c>
      <x:c r="C2" s="11" t="str">
        <x:v>D01-D10 + PRD/SA/SD logical baseline reviewed</x:v>
      </x:c>
      <x:c r="D2" s="11" t="str">
        <x:v>Review</x:v>
      </x:c>
      <x:c r="E2" s="11" t="str">
        <x:v>Human</x:v>
      </x:c>
      <x:c r="F2" s="11" t="str">
        <x:v>docs/18_ARCHITECTURE_DECISIONS.md + docs/22_BASELINE_VALIDATION_REPORT.md</x:v>
      </x:c>
      <x:c r="G2" s="11" t="str">
        <x:v>Architecture frozen; local target verification pending</x:v>
      </x:c>
    </x:row>
    <x:row r="3">
      <x:c r="A3" s="11" t="str">
        <x:v>Competition Content v1</x:v>
      </x:c>
      <x:c r="B3" s="12" t="n">
        <x:v>46259</x:v>
      </x:c>
      <x:c r="C3" s="11" t="str">
        <x:v>Proposal + 20-slide outline 80–90% ready</x:v>
      </x:c>
      <x:c r="D3" s="11" t="str">
        <x:v>In Progress</x:v>
      </x:c>
      <x:c r="E3" s="11" t="str">
        <x:v>Human</x:v>
      </x:c>
      <x:c r="F3" s="11" t="str"/>
      <x:c r="G3" s="11" t="str"/>
    </x:row>
    <x:row r="4">
      <x:c r="A4" s="11" t="str">
        <x:v>First Vertical Slice</x:v>
      </x:c>
      <x:c r="B4" s="12" t="n">
        <x:v>46271</x:v>
      </x:c>
      <x:c r="C4" s="11" t="str">
        <x:v>Project→Review→Runtime→Evidence→Result works</x:v>
      </x:c>
      <x:c r="D4" s="11" t="str">
        <x:v>Not Started</x:v>
      </x:c>
      <x:c r="E4" s="11" t="str">
        <x:v>Shared</x:v>
      </x:c>
      <x:c r="F4" s="11" t="str"/>
      <x:c r="G4" s="11" t="str"/>
    </x:row>
    <x:row r="5">
      <x:c r="A5" s="11" t="str">
        <x:v>Initial Review Submission</x:v>
      </x:c>
      <x:c r="B5" s="12" t="n">
        <x:v>46272</x:v>
      </x:c>
      <x:c r="C5" s="11" t="str">
        <x:v>Required files uploaded; upload form checked</x:v>
      </x:c>
      <x:c r="D5" s="11" t="str">
        <x:v>Not Started</x:v>
      </x:c>
      <x:c r="E5" s="11" t="str">
        <x:v>Human</x:v>
      </x:c>
      <x:c r="F5" s="11" t="str"/>
      <x:c r="G5" s="11" t="str"/>
    </x:row>
    <x:row r="6">
      <x:c r="A6" s="11" t="str">
        <x:v>Core Product Gate</x:v>
      </x:c>
      <x:c r="B6" s="12" t="n">
        <x:v>46285</x:v>
      </x:c>
      <x:c r="C6" s="11" t="str">
        <x:v>Discuss/Review/Validate + Council + Codex/OpenCode core path</x:v>
      </x:c>
      <x:c r="D6" s="11" t="str">
        <x:v>Not Started</x:v>
      </x:c>
      <x:c r="E6" s="11" t="str">
        <x:v>Shared</x:v>
      </x:c>
      <x:c r="F6" s="11" t="str"/>
      <x:c r="G6" s="11" t="str"/>
    </x:row>
    <x:row r="7">
      <x:c r="A7" s="11" t="str">
        <x:v>Integration Gate</x:v>
      </x:c>
      <x:c r="B7" s="12" t="n">
        <x:v>46299</x:v>
      </x:c>
      <x:c r="C7" s="11" t="str">
        <x:v>Web AI + Local AI + Policy baseline usable</x:v>
      </x:c>
      <x:c r="D7" s="11" t="str">
        <x:v>Not Started</x:v>
      </x:c>
      <x:c r="E7" s="11" t="str">
        <x:v>Shared</x:v>
      </x:c>
      <x:c r="F7" s="11" t="str"/>
      <x:c r="G7" s="11" t="str"/>
    </x:row>
    <x:row r="8">
      <x:c r="A8" s="11" t="str">
        <x:v>Feature Freeze</x:v>
      </x:c>
      <x:c r="B8" s="12" t="n">
        <x:v>46313</x:v>
      </x:c>
      <x:c r="C8" s="11" t="str">
        <x:v>No new features; only fixes/tests/docs</x:v>
      </x:c>
      <x:c r="D8" s="11" t="str">
        <x:v>Not Started</x:v>
      </x:c>
      <x:c r="E8" s="11" t="str">
        <x:v>Human</x:v>
      </x:c>
      <x:c r="F8" s="11" t="str"/>
      <x:c r="G8" s="11" t="str"/>
    </x:row>
    <x:row r="9">
      <x:c r="A9" s="11" t="str">
        <x:v>V1 Acceptance Complete</x:v>
      </x:c>
      <x:c r="B9" s="12" t="n">
        <x:v>46326</x:v>
      </x:c>
      <x:c r="C9" s="11" t="str">
        <x:v>Golden workflows, migration, backup, conformance accepted</x:v>
      </x:c>
      <x:c r="D9" s="11" t="str">
        <x:v>Not Started</x:v>
      </x:c>
      <x:c r="E9" s="11" t="str">
        <x:v>Shared</x:v>
      </x:c>
      <x:c r="F9" s="11" t="str"/>
      <x:c r="G9" s="11" t="str"/>
    </x:row>
    <x:row r="10">
      <x:c r="A10" s="11"/>
      <x:c r="B10" s="11"/>
      <x:c r="C10" s="11"/>
      <x:c r="D10" s="11"/>
      <x:c r="E10" s="11"/>
      <x:c r="F10" s="11"/>
      <x:c r="G10" s="11"/>
    </x:row>
    <x:row r="11">
      <x:c r="A11" s="11"/>
      <x:c r="B11" s="11"/>
      <x:c r="C11" s="11"/>
      <x:c r="D11" s="11"/>
      <x:c r="E11" s="11"/>
      <x:c r="F11" s="11"/>
      <x:c r="G11" s="11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</x:sheetData>
  <x:dataValidations count="2">
    <x:dataValidation type="list" sqref="D2:D50">
      <x:formula1>"Not Started,In Progress,Review,Blocked,Done,Deferred"</x:formula1>
    </x:dataValidation>
    <x:dataValidation type="list" sqref="E2:E50">
      <x:formula1>"Human,Codex,OpenCode,Antigravity,Shared"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3" hidden="0" customWidth="1"/>
    <x:col min="4" max="4" width="15" hidden="0" customWidth="1"/>
    <x:col min="5" max="5" width="42" hidden="0" customWidth="1"/>
    <x:col min="6" max="6" width="34" hidden="0" customWidth="1"/>
  </x:cols>
  <x:sheetData>
    <x:row r="1">
      <x:c r="A1" s="44" t="str">
        <x:v>Item</x:v>
      </x:c>
      <x:c r="B1" s="44" t="str">
        <x:v>Source / Rule</x:v>
      </x:c>
      <x:c r="C1" s="44" t="str">
        <x:v>Internal Due</x:v>
      </x:c>
      <x:c r="D1" s="44" t="str">
        <x:v>Status</x:v>
      </x:c>
      <x:c r="E1" s="44" t="str">
        <x:v>Evidence / File</x:v>
      </x:c>
      <x:c r="F1" s="44" t="str">
        <x:v>Notes</x:v>
      </x:c>
    </x:row>
    <x:row r="2">
      <x:c r="A2" s="11" t="str">
        <x:v>Proposal plan ≤20 pages</x:v>
      </x:c>
      <x:c r="B2" s="11" t="str">
        <x:v>Original competition brief attachment 2</x:v>
      </x:c>
      <x:c r="C2" s="12" t="n">
        <x:v>46270</x:v>
      </x:c>
      <x:c r="D2" s="11" t="str">
        <x:v>In Progress</x:v>
      </x:c>
      <x:c r="E2" s="11" t="str">
        <x:v>PolyNexus_Cyber4_Initial_Proposal_Draft_v0.1.docx</x:v>
      </x:c>
      <x:c r="F2" s="11" t="str">
        <x:v>A4 portrait; final font/page rules recheck</x:v>
      </x:c>
    </x:row>
    <x:row r="3">
      <x:c r="A3" s="11" t="str">
        <x:v>AI Use Case deck ≤20 pages</x:v>
      </x:c>
      <x:c r="B3" s="11" t="str">
        <x:v>Original brief + current event site</x:v>
      </x:c>
      <x:c r="C3" s="12" t="n">
        <x:v>46270</x:v>
      </x:c>
      <x:c r="D3" s="11" t="str">
        <x:v>In Progress</x:v>
      </x:c>
      <x:c r="E3" s="11" t="str">
        <x:v>docs/14_COMPETITION_SLIDE_OUTLINE.md</x:v>
      </x:c>
      <x:c r="F3" s="11" t="str">
        <x:v>PPTX/PDF after content freeze</x:v>
      </x:c>
    </x:row>
    <x:row r="4">
      <x:c r="A4" s="11" t="str">
        <x:v>Verify actual upload form fields</x:v>
      </x:c>
      <x:c r="B4" s="11" t="str">
        <x:v>Latest event site Microsoft Forms</x:v>
      </x:c>
      <x:c r="C4" s="12" t="n">
        <x:v>46266</x:v>
      </x:c>
      <x:c r="D4" s="11" t="str">
        <x:v>Not Started</x:v>
      </x:c>
      <x:c r="E4" s="11" t="str"/>
      <x:c r="F4" s="11" t="str">
        <x:v>Critical: old brief/current site differ on Demo wording</x:v>
      </x:c>
    </x:row>
    <x:row r="5">
      <x:c r="A5" s="11" t="str">
        <x:v>Demo / image requirement</x:v>
      </x:c>
      <x:c r="B5" s="11" t="str">
        <x:v>Verify latest form/notice</x:v>
      </x:c>
      <x:c r="C5" s="12" t="n">
        <x:v>46267</x:v>
      </x:c>
      <x:c r="D5" s="11" t="str">
        <x:v>Not Started</x:v>
      </x:c>
      <x:c r="E5" s="11" t="str"/>
      <x:c r="F5" s="11" t="str">
        <x:v>Do not assume old 3-min or current 5–10-min text</x:v>
      </x:c>
    </x:row>
    <x:row r="6">
      <x:c r="A6" s="11" t="str">
        <x:v>Benefit explanation / effectiveness sheet</x:v>
      </x:c>
      <x:c r="B6" s="11" t="str">
        <x:v>Current event site lists benefit explanation</x:v>
      </x:c>
      <x:c r="C6" s="12" t="n">
        <x:v>46268</x:v>
      </x:c>
      <x:c r="D6" s="11" t="str">
        <x:v>Not Started</x:v>
      </x:c>
      <x:c r="E6" s="11" t="str"/>
      <x:c r="F6" s="11" t="str">
        <x:v>Confirm whether separate attachment</x:v>
      </x:c>
    </x:row>
    <x:row r="7">
      <x:c r="A7" s="11" t="str">
        <x:v>No customer data/project content</x:v>
      </x:c>
      <x:c r="B7" s="11" t="str">
        <x:v>Competition rules</x:v>
      </x:c>
      <x:c r="C7" s="12" t="n">
        <x:v>46270</x:v>
      </x:c>
      <x:c r="D7" s="11" t="str">
        <x:v>Not Started</x:v>
      </x:c>
      <x:c r="E7" s="11" t="str"/>
      <x:c r="F7" s="11" t="str">
        <x:v>Use synthetic/public project only</x:v>
      </x:c>
    </x:row>
    <x:row r="8">
      <x:c r="A8" s="11" t="str">
        <x:v>Scoring mapping 50/30/20</x:v>
      </x:c>
      <x:c r="B8" s="11" t="str">
        <x:v>Enterprise Value / Maturity / Innovation</x:v>
      </x:c>
      <x:c r="C8" s="12" t="n">
        <x:v>46264</x:v>
      </x:c>
      <x:c r="D8" s="11" t="str">
        <x:v>Not Started</x:v>
      </x:c>
      <x:c r="E8" s="11" t="str"/>
      <x:c r="F8" s="11" t="str">
        <x:v>Each major section supports a score dimension</x:v>
      </x:c>
    </x:row>
    <x:row r="9">
      <x:c r="A9" s="11" t="str">
        <x:v>File naming / size / format</x:v>
      </x:c>
      <x:c r="B9" s="11" t="str">
        <x:v>Actual upload form</x:v>
      </x:c>
      <x:c r="C9" s="12" t="n">
        <x:v>46269</x:v>
      </x:c>
      <x:c r="D9" s="11" t="str">
        <x:v>Not Started</x:v>
      </x:c>
      <x:c r="E9" s="11" t="str"/>
      <x:c r="F9" s="11" t="str"/>
    </x:row>
    <x:row r="10">
      <x:c r="A10" s="11" t="str">
        <x:v>Upload rehearsal</x:v>
      </x:c>
      <x:c r="B10" s="11" t="str">
        <x:v>Internal gate</x:v>
      </x:c>
      <x:c r="C10" s="12" t="n">
        <x:v>46271</x:v>
      </x:c>
      <x:c r="D10" s="11" t="str">
        <x:v>Not Started</x:v>
      </x:c>
      <x:c r="E10" s="11" t="str"/>
      <x:c r="F10" s="11" t="str"/>
    </x:row>
    <x:row r="11">
      <x:c r="A11" s="11" t="str">
        <x:v>Final submission</x:v>
      </x:c>
      <x:c r="B11" s="11" t="str">
        <x:v>Latest notice</x:v>
      </x:c>
      <x:c r="C11" s="12" t="n">
        <x:v>46272</x:v>
      </x:c>
      <x:c r="D11" s="11" t="str">
        <x:v>Not Started</x:v>
      </x:c>
      <x:c r="E11" s="11" t="str"/>
      <x:c r="F11" s="11" t="str">
        <x:v>Capture confirmation</x:v>
      </x:c>
    </x:row>
  </x:sheetData>
  <x:dataValidations count="1">
    <x:dataValidation type="list" sqref="D2:D11">
      <x:formula1>"Not Started,In Progress,Review,Blocked,Done,Deferred"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4" hidden="0" customWidth="1"/>
    <x:col min="5" max="5" width="48" hidden="0" customWidth="1"/>
    <x:col min="6" max="6" width="14" hidden="0" customWidth="1"/>
    <x:col min="7" max="7" width="16" hidden="0" customWidth="1"/>
  </x:cols>
  <x:sheetData>
    <x:row r="1">
      <x:c r="A1" s="50" t="str">
        <x:v>ID</x:v>
      </x:c>
      <x:c r="B1" s="50" t="str">
        <x:v>Risk</x:v>
      </x:c>
      <x:c r="C1" s="50" t="str">
        <x:v>Severity</x:v>
      </x:c>
      <x:c r="D1" s="50" t="str">
        <x:v>Owner</x:v>
      </x:c>
      <x:c r="E1" s="50" t="str">
        <x:v>Mitigation</x:v>
      </x:c>
      <x:c r="F1" s="50" t="str">
        <x:v>Status</x:v>
      </x:c>
      <x:c r="G1" s="50" t="str">
        <x:v>Trigger / Review Date</x:v>
      </x:c>
    </x:row>
    <x:row r="2">
      <x:c r="A2" s="11" t="str">
        <x:v>R01</x:v>
      </x:c>
      <x:c r="B2" s="11" t="str">
        <x:v>Runtime/version integration matrix explosion</x:v>
      </x:c>
      <x:c r="C2" s="11" t="str">
        <x:v>High</x:v>
      </x:c>
      <x:c r="D2" s="11" t="str">
        <x:v>Codex</x:v>
      </x:c>
      <x:c r="E2" s="11" t="str">
        <x:v>Certified matrix + Doctor + Conformance</x:v>
      </x:c>
      <x:c r="F2" s="11" t="str">
        <x:v>Open</x:v>
      </x:c>
      <x:c r="G2" s="12" t="n">
        <x:v>46285</x:v>
      </x:c>
    </x:row>
    <x:row r="3">
      <x:c r="A3" s="11" t="str">
        <x:v>R02</x:v>
      </x:c>
      <x:c r="B3" s="11" t="str">
        <x:v>Web AI UI/login changes</x:v>
      </x:c>
      <x:c r="C3" s="11" t="str">
        <x:v>High</x:v>
      </x:c>
      <x:c r="D3" s="11" t="str">
        <x:v>Antigravity</x:v>
      </x:c>
      <x:c r="E3" s="11" t="str">
        <x:v>Thin drivers + mandatory fallback + failure isolation</x:v>
      </x:c>
      <x:c r="F3" s="11" t="str">
        <x:v>Open</x:v>
      </x:c>
      <x:c r="G3" s="12" t="n">
        <x:v>46298</x:v>
      </x:c>
    </x:row>
    <x:row r="4">
      <x:c r="A4" s="11" t="str">
        <x:v>R03</x:v>
      </x:c>
      <x:c r="B4" s="11" t="str">
        <x:v>UX becomes technical control panel</x:v>
      </x:c>
      <x:c r="C4" s="11" t="str">
        <x:v>High</x:v>
      </x:c>
      <x:c r="D4" s="11" t="str">
        <x:v>Human</x:v>
      </x:c>
      <x:c r="E4" s="11" t="str">
        <x:v>Progressive disclosure; three primary entrances</x:v>
      </x:c>
      <x:c r="F4" s="11" t="str">
        <x:v>Open</x:v>
      </x:c>
      <x:c r="G4" s="12" t="n">
        <x:v>46309</x:v>
      </x:c>
    </x:row>
    <x:row r="5">
      <x:c r="A5" s="11" t="str">
        <x:v>R04</x:v>
      </x:c>
      <x:c r="B5" s="11" t="str">
        <x:v>Scope exceeds Oct deadline</x:v>
      </x:c>
      <x:c r="C5" s="11" t="str">
        <x:v>High</x:v>
      </x:c>
      <x:c r="D5" s="11" t="str">
        <x:v>Human</x:v>
      </x:c>
      <x:c r="E5" s="11" t="str">
        <x:v>CORE/BASELINE/COMPATIBILITY/FUTURE + feature freeze</x:v>
      </x:c>
      <x:c r="F5" s="11" t="str">
        <x:v>Open</x:v>
      </x:c>
      <x:c r="G5" s="12" t="n">
        <x:v>46285</x:v>
      </x:c>
    </x:row>
    <x:row r="6">
      <x:c r="A6" s="11" t="str">
        <x:v>R05</x:v>
      </x:c>
      <x:c r="B6" s="11" t="str">
        <x:v>Three AI tools overwrite each other</x:v>
      </x:c>
      <x:c r="C6" s="11" t="str">
        <x:v>High</x:v>
      </x:c>
      <x:c r="D6" s="11" t="str">
        <x:v>Human</x:v>
      </x:c>
      <x:c r="E6" s="11" t="str">
        <x:v>Single Active Writer + Git + handoff</x:v>
      </x:c>
      <x:c r="F6" s="11" t="str">
        <x:v>Open</x:v>
      </x:c>
      <x:c r="G6" s="12" t="n">
        <x:v>46261</x:v>
      </x:c>
    </x:row>
    <x:row r="7">
      <x:c r="A7" s="11" t="str">
        <x:v>R06</x:v>
      </x:c>
      <x:c r="B7" s="11" t="str">
        <x:v>Token/quota waste from repeated context</x:v>
      </x:c>
      <x:c r="C7" s="11" t="str">
        <x:v>High</x:v>
      </x:c>
      <x:c r="D7" s="11" t="str">
        <x:v>Shared</x:v>
      </x:c>
      <x:c r="E7" s="11" t="str">
        <x:v>Memory pyramid + diff review + routing</x:v>
      </x:c>
      <x:c r="F7" s="11" t="str">
        <x:v>Open</x:v>
      </x:c>
      <x:c r="G7" s="12" t="n">
        <x:v>46271</x:v>
      </x:c>
    </x:row>
    <x:row r="8">
      <x:c r="A8" s="11" t="str">
        <x:v>R07</x:v>
      </x:c>
      <x:c r="B8" s="11" t="str">
        <x:v>AI consensus mistaken for evidence</x:v>
      </x:c>
      <x:c r="C8" s="11" t="str">
        <x:v>High</x:v>
      </x:c>
      <x:c r="D8" s="11" t="str">
        <x:v>Codex</x:v>
      </x:c>
      <x:c r="E8" s="11" t="str">
        <x:v>Evidence types + hard gates</x:v>
      </x:c>
      <x:c r="F8" s="11" t="str">
        <x:v>Open</x:v>
      </x:c>
      <x:c r="G8" s="12" t="n">
        <x:v>46277</x:v>
      </x:c>
    </x:row>
    <x:row r="9">
      <x:c r="A9" s="11" t="str">
        <x:v>R08</x:v>
      </x:c>
      <x:c r="B9" s="11" t="str">
        <x:v>Local route leaks via external tools</x:v>
      </x:c>
      <x:c r="C9" s="11" t="str">
        <x:v>High</x:v>
      </x:c>
      <x:c r="D9" s="11" t="str">
        <x:v>Codex</x:v>
      </x:c>
      <x:c r="E9" s="11" t="str">
        <x:v>Route-level policy / Local-only</x:v>
      </x:c>
      <x:c r="F9" s="11" t="str">
        <x:v>Open</x:v>
      </x:c>
      <x:c r="G9" s="12" t="n">
        <x:v>46299</x:v>
      </x:c>
    </x:row>
    <x:row r="10">
      <x:c r="A10" s="11" t="str">
        <x:v>R09</x:v>
      </x:c>
      <x:c r="B10" s="11" t="str">
        <x:v>Schema evolution breaks old workspaces</x:v>
      </x:c>
      <x:c r="C10" s="11" t="str">
        <x:v>High</x:v>
      </x:c>
      <x:c r="D10" s="11" t="str">
        <x:v>Codex</x:v>
      </x:c>
      <x:c r="E10" s="11" t="str">
        <x:v>Versioned schema + migration + backup</x:v>
      </x:c>
      <x:c r="F10" s="11" t="str">
        <x:v>Open</x:v>
      </x:c>
      <x:c r="G10" s="12" t="n">
        <x:v>46306</x:v>
      </x:c>
    </x:row>
    <x:row r="11">
      <x:c r="A11" s="11" t="str">
        <x:v>R10</x:v>
      </x:c>
      <x:c r="B11" s="11" t="str">
        <x:v>Competition submission requirement changes</x:v>
      </x:c>
      <x:c r="C11" s="11" t="str">
        <x:v>High</x:v>
      </x:c>
      <x:c r="D11" s="11" t="str">
        <x:v>Human</x:v>
      </x:c>
      <x:c r="E11" s="11" t="str">
        <x:v>Verify actual form/latest notice</x:v>
      </x:c>
      <x:c r="F11" s="11" t="str">
        <x:v>Open</x:v>
      </x:c>
      <x:c r="G11" s="12" t="n">
        <x:v>46266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42" hidden="0" customWidth="1"/>
    <x:col min="5" max="5" width="34" hidden="0" customWidth="1"/>
    <x:col min="6" max="6" width="35" hidden="0" customWidth="1"/>
  </x:cols>
  <x:sheetData>
    <x:row r="1">
      <x:c r="A1" s="56" t="str">
        <x:v>Tool</x:v>
      </x:c>
      <x:c r="B1" s="56" t="str">
        <x:v>Target Task Share</x:v>
      </x:c>
      <x:c r="C1" s="56" t="str">
        <x:v>Primary Role</x:v>
      </x:c>
      <x:c r="D1" s="56" t="str">
        <x:v>Use For</x:v>
      </x:c>
      <x:c r="E1" s="56" t="str">
        <x:v>Avoid</x:v>
      </x:c>
      <x:c r="F1" s="56" t="str">
        <x:v>Quota Strategy</x:v>
      </x:c>
    </x:row>
    <x:row r="2">
      <x:c r="A2" s="11" t="str">
        <x:v>Codex</x:v>
      </x:c>
      <x:c r="B2" s="13" t="n">
        <x:v>0.35</x:v>
      </x:c>
      <x:c r="C2" s="11" t="str">
        <x:v>Architecture / Core</x:v>
      </x:c>
      <x:c r="D2" s="11" t="str">
        <x:v>Contracts, domain, hard bugs, critical review</x:v>
      </x:c>
      <x:c r="E2" s="11" t="str">
        <x:v>Routine templates/tests</x:v>
      </x:c>
      <x:c r="F2" s="11" t="str">
        <x:v>Reserve high reasoning for high-coupling decisions</x:v>
      </x:c>
    </x:row>
    <x:row r="3">
      <x:c r="A3" s="11" t="str">
        <x:v>OpenCode</x:v>
      </x:c>
      <x:c r="B3" s="13" t="n">
        <x:v>0.55</x:v>
      </x:c>
      <x:c r="C3" s="11" t="str">
        <x:v>Implementation / Tests</x:v>
      </x:c>
      <x:c r="D3" s="11" t="str">
        <x:v>Features, fixtures, conformance, templates, routine refactor</x:v>
      </x:c>
      <x:c r="E3" s="11" t="str">
        <x:v>Changing confirmed architecture on its own</x:v>
      </x:c>
      <x:c r="F3" s="11" t="str">
        <x:v>Primary workhorse; narrow context</x:v>
      </x:c>
    </x:row>
    <x:row r="4">
      <x:c r="A4" s="11" t="str">
        <x:v>Antigravity</x:v>
      </x:c>
      <x:c r="B4" s="13" t="n">
        <x:v>0.1</x:v>
      </x:c>
      <x:c r="C4" s="11" t="str">
        <x:v>Browser / E2E / Red Team</x:v>
      </x:c>
      <x:c r="D4" s="11" t="str">
        <x:v>Web companion, user journey, milestone verification</x:v>
      </x:c>
      <x:c r="E4" s="11" t="str">
        <x:v>Every-commit third review</x:v>
      </x:c>
      <x:c r="F4" s="11" t="str">
        <x:v>Reserve quota for browser-heavy tasks</x:v>
      </x:c>
    </x:row>
    <x:row r="5">
      <x:c r="A5" s="11" t="str">
        <x:v>Human</x:v>
      </x:c>
      <x:c r="B5" s="13" t="n">
        <x:v>0</x:v>
      </x:c>
      <x:c r="C5" s="11" t="str">
        <x:v>Scope / Final Decision</x:v>
      </x:c>
      <x:c r="D5" s="11" t="str">
        <x:v>Scope, competition narrative, approval, prioritization</x:v>
      </x:c>
      <x:c r="E5" s="11" t="str">
        <x:v>Delegating final governance to AI</x:v>
      </x:c>
      <x:c r="F5" s="11" t="str">
        <x:v>Manual checkpoints</x:v>
      </x:c>
    </x:row>
    <x:row r="6">
      <x:c r="A6" s="11" t="str">
        <x:v>Shared Rule</x:v>
      </x:c>
      <x:c r="B6" s="13" t="n">
        <x:v>1</x:v>
      </x:c>
      <x:c r="C6" s="11" t="str">
        <x:v>Single Active Writer</x:v>
      </x:c>
      <x:c r="D6" s="11" t="str">
        <x:v>One writer + necessary reviewer; 3 tools only at milestone/RC</x:v>
      </x:c>
      <x:c r="E6" s="11" t="str"/>
      <x:c r="F6" s="11" t="str">
        <x:v>Delta handoff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65" hidden="0" customWidth="1"/>
  </x:cols>
  <x:sheetData>
    <x:row r="1">
      <x:c r="A1" s="62" t="str">
        <x:v>Source</x:v>
      </x:c>
      <x:c r="B1" s="62" t="str">
        <x:v>Purpose</x:v>
      </x:c>
      <x:c r="C1" s="62" t="str">
        <x:v>URL / Note</x:v>
      </x:c>
    </x:row>
    <x:row r="2">
      <x:c r="A2" s="11" t="str">
        <x:v>Cyber4.0 event site</x:v>
      </x:c>
      <x:c r="B2" s="11" t="str">
        <x:v>Current event description / scoring / upload link</x:v>
      </x:c>
      <x:c r="C2" s="11" t="str">
        <x:v>https://ai-challenge-2026.cybersoft.tw/</x:v>
      </x:c>
    </x:row>
    <x:row r="3">
      <x:c r="A3" s="11" t="str">
        <x:v>Competition brief</x:v>
      </x:c>
      <x:c r="B3" s="11" t="str">
        <x:v>Original proposal format, page limits, categories</x:v>
      </x:c>
      <x:c r="C3" s="11" t="str">
        <x:v>Cyber4_2026_AI競賽活動簡章.docx (user library)</x:v>
      </x:c>
    </x:row>
    <x:row r="4">
      <x:c r="A4" s="11" t="str">
        <x:v>Codex Skills docs</x:v>
      </x:c>
      <x:c r="B4" s="11" t="str">
        <x:v>Repo skills path / progressive disclosure</x:v>
      </x:c>
      <x:c r="C4" s="11" t="str">
        <x:v>https://developers.openai.com/codex/build-skills</x:v>
      </x:c>
    </x:row>
    <x:row r="5">
      <x:c r="A5" s="11" t="str">
        <x:v>OpenCode Skills/Rules docs</x:v>
      </x:c>
      <x:c r="B5" s="11" t="str">
        <x:v>AGENTS.md + .agents/skills compatibility</x:v>
      </x:c>
      <x:c r="C5" s="11" t="str">
        <x:v>https://opencode.ai/docs/skills/ ; https://opencode.ai/docs/rules/</x:v>
      </x:c>
    </x:row>
    <x:row r="6">
      <x:c r="A6" s="11" t="str">
        <x:v>Antigravity Skills/Rules docs</x:v>
      </x:c>
      <x:c r="B6" s="11" t="str">
        <x:v>.agents/skills + .agents/rules workspace convention</x:v>
      </x:c>
      <x:c r="C6" s="11" t="str">
        <x:v>https://antigravity.google/docs/skills ; https://antigravity.google/docs/rules-workflows</x:v>
      </x:c>
    </x:row>
  </x:sheetData>
  <x:pageMargins left="0.7" right="0.7" top="0.75" bottom="0.75" header="0.3" footer="0.3"/>
</x:worksheet>
</file>